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rsh\Projects\Portfolio\02-sla-support-ticket-tracker-excel\"/>
    </mc:Choice>
  </mc:AlternateContent>
  <xr:revisionPtr revIDLastSave="0" documentId="13_ncr:1_{815DE686-D6F0-487A-857A-6989D0D7FEF4}" xr6:coauthVersionLast="47" xr6:coauthVersionMax="47" xr10:uidLastSave="{00000000-0000-0000-0000-000000000000}"/>
  <bookViews>
    <workbookView xWindow="-98" yWindow="-98" windowWidth="21795" windowHeight="12975" activeTab="1" xr2:uid="{00000000-000D-0000-FFFF-FFFF00000000}"/>
  </bookViews>
  <sheets>
    <sheet name="Tickets" sheetId="1" r:id="rId1"/>
    <sheet name="Dashboard" sheetId="2" r:id="rId2"/>
  </sheets>
  <definedNames>
    <definedName name="_xlnm._FilterDatabase" localSheetId="0" hidden="1">Tickets!$A$1:$L$181</definedName>
    <definedName name="Slicer_Priority">#N/A</definedName>
    <definedName name="Slicer_Tier">#N/A</definedName>
  </definedNames>
  <calcPr calcId="191029"/>
  <pivotCaches>
    <pivotCache cacheId="1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L181" i="1"/>
  <c r="J181" i="1"/>
  <c r="I181" i="1"/>
  <c r="L180" i="1"/>
  <c r="J180" i="1"/>
  <c r="I180" i="1"/>
  <c r="L179" i="1"/>
  <c r="I179" i="1"/>
  <c r="J179" i="1" s="1"/>
  <c r="L178" i="1"/>
  <c r="I178" i="1"/>
  <c r="J178" i="1" s="1"/>
  <c r="L177" i="1"/>
  <c r="I177" i="1"/>
  <c r="J177" i="1" s="1"/>
  <c r="L176" i="1"/>
  <c r="J176" i="1"/>
  <c r="I176" i="1"/>
  <c r="L175" i="1"/>
  <c r="I175" i="1"/>
  <c r="J175" i="1" s="1"/>
  <c r="L174" i="1"/>
  <c r="I174" i="1"/>
  <c r="J174" i="1" s="1"/>
  <c r="L173" i="1"/>
  <c r="I173" i="1"/>
  <c r="J173" i="1" s="1"/>
  <c r="L172" i="1"/>
  <c r="I172" i="1"/>
  <c r="J172" i="1" s="1"/>
  <c r="L171" i="1"/>
  <c r="I171" i="1"/>
  <c r="J171" i="1" s="1"/>
  <c r="L170" i="1"/>
  <c r="I170" i="1"/>
  <c r="J170" i="1" s="1"/>
  <c r="L169" i="1"/>
  <c r="I169" i="1"/>
  <c r="J169" i="1" s="1"/>
  <c r="L168" i="1"/>
  <c r="I168" i="1"/>
  <c r="J168" i="1" s="1"/>
  <c r="L167" i="1"/>
  <c r="J167" i="1"/>
  <c r="I167" i="1"/>
  <c r="L166" i="1"/>
  <c r="I166" i="1"/>
  <c r="J166" i="1" s="1"/>
  <c r="L165" i="1"/>
  <c r="I165" i="1"/>
  <c r="J165" i="1" s="1"/>
  <c r="L164" i="1"/>
  <c r="J164" i="1"/>
  <c r="I164" i="1"/>
  <c r="L163" i="1"/>
  <c r="I163" i="1"/>
  <c r="J163" i="1" s="1"/>
  <c r="L162" i="1"/>
  <c r="I162" i="1"/>
  <c r="J162" i="1" s="1"/>
  <c r="L161" i="1"/>
  <c r="I161" i="1"/>
  <c r="J161" i="1" s="1"/>
  <c r="L160" i="1"/>
  <c r="I160" i="1"/>
  <c r="J160" i="1" s="1"/>
  <c r="L159" i="1"/>
  <c r="I159" i="1"/>
  <c r="J159" i="1" s="1"/>
  <c r="L158" i="1"/>
  <c r="I158" i="1"/>
  <c r="J158" i="1" s="1"/>
  <c r="L157" i="1"/>
  <c r="I157" i="1"/>
  <c r="J157" i="1" s="1"/>
  <c r="L156" i="1"/>
  <c r="I156" i="1"/>
  <c r="J156" i="1" s="1"/>
  <c r="L155" i="1"/>
  <c r="I155" i="1"/>
  <c r="J155" i="1" s="1"/>
  <c r="L154" i="1"/>
  <c r="I154" i="1"/>
  <c r="J154" i="1" s="1"/>
  <c r="L153" i="1"/>
  <c r="I153" i="1"/>
  <c r="J153" i="1" s="1"/>
  <c r="L152" i="1"/>
  <c r="I152" i="1"/>
  <c r="J152" i="1" s="1"/>
  <c r="L151" i="1"/>
  <c r="I151" i="1"/>
  <c r="J151" i="1" s="1"/>
  <c r="L150" i="1"/>
  <c r="I150" i="1"/>
  <c r="J150" i="1" s="1"/>
  <c r="L149" i="1"/>
  <c r="I149" i="1"/>
  <c r="J149" i="1" s="1"/>
  <c r="L148" i="1"/>
  <c r="J148" i="1"/>
  <c r="I148" i="1"/>
  <c r="L147" i="1"/>
  <c r="I147" i="1"/>
  <c r="J147" i="1" s="1"/>
  <c r="L146" i="1"/>
  <c r="J146" i="1"/>
  <c r="I146" i="1"/>
  <c r="L145" i="1"/>
  <c r="I145" i="1"/>
  <c r="J145" i="1" s="1"/>
  <c r="L144" i="1"/>
  <c r="I144" i="1"/>
  <c r="J144" i="1" s="1"/>
  <c r="L143" i="1"/>
  <c r="I143" i="1"/>
  <c r="J143" i="1" s="1"/>
  <c r="L142" i="1"/>
  <c r="J142" i="1"/>
  <c r="I142" i="1"/>
  <c r="L141" i="1"/>
  <c r="I141" i="1"/>
  <c r="J141" i="1" s="1"/>
  <c r="L140" i="1"/>
  <c r="I140" i="1"/>
  <c r="J140" i="1" s="1"/>
  <c r="L139" i="1"/>
  <c r="I139" i="1"/>
  <c r="J139" i="1" s="1"/>
  <c r="L138" i="1"/>
  <c r="I138" i="1"/>
  <c r="J138" i="1" s="1"/>
  <c r="L137" i="1"/>
  <c r="J137" i="1"/>
  <c r="I137" i="1"/>
  <c r="L136" i="1"/>
  <c r="I136" i="1"/>
  <c r="J136" i="1" s="1"/>
  <c r="L135" i="1"/>
  <c r="J135" i="1"/>
  <c r="I135" i="1"/>
  <c r="L134" i="1"/>
  <c r="I134" i="1"/>
  <c r="J134" i="1" s="1"/>
  <c r="L133" i="1"/>
  <c r="I133" i="1"/>
  <c r="J133" i="1" s="1"/>
  <c r="L132" i="1"/>
  <c r="I132" i="1"/>
  <c r="J132" i="1" s="1"/>
  <c r="L131" i="1"/>
  <c r="J131" i="1"/>
  <c r="I131" i="1"/>
  <c r="L130" i="1"/>
  <c r="J130" i="1"/>
  <c r="I130" i="1"/>
  <c r="L129" i="1"/>
  <c r="I129" i="1"/>
  <c r="J129" i="1" s="1"/>
  <c r="L128" i="1"/>
  <c r="I128" i="1"/>
  <c r="J128" i="1" s="1"/>
  <c r="L127" i="1"/>
  <c r="I127" i="1"/>
  <c r="J127" i="1" s="1"/>
  <c r="L126" i="1"/>
  <c r="I126" i="1"/>
  <c r="J126" i="1" s="1"/>
  <c r="L125" i="1"/>
  <c r="I125" i="1"/>
  <c r="J125" i="1" s="1"/>
  <c r="L124" i="1"/>
  <c r="J124" i="1"/>
  <c r="I124" i="1"/>
  <c r="L123" i="1"/>
  <c r="I123" i="1"/>
  <c r="J123" i="1" s="1"/>
  <c r="L122" i="1"/>
  <c r="I122" i="1"/>
  <c r="J122" i="1" s="1"/>
  <c r="L121" i="1"/>
  <c r="J121" i="1"/>
  <c r="I121" i="1"/>
  <c r="L120" i="1"/>
  <c r="I120" i="1"/>
  <c r="J120" i="1" s="1"/>
  <c r="L119" i="1"/>
  <c r="J119" i="1"/>
  <c r="I119" i="1"/>
  <c r="L118" i="1"/>
  <c r="I118" i="1"/>
  <c r="J118" i="1" s="1"/>
  <c r="L117" i="1"/>
  <c r="J117" i="1"/>
  <c r="I117" i="1"/>
  <c r="L116" i="1"/>
  <c r="I116" i="1"/>
  <c r="J116" i="1" s="1"/>
  <c r="L115" i="1"/>
  <c r="I115" i="1"/>
  <c r="J115" i="1" s="1"/>
  <c r="L114" i="1"/>
  <c r="I114" i="1"/>
  <c r="J114" i="1" s="1"/>
  <c r="L113" i="1"/>
  <c r="I113" i="1"/>
  <c r="J113" i="1" s="1"/>
  <c r="L112" i="1"/>
  <c r="J112" i="1"/>
  <c r="I112" i="1"/>
  <c r="L111" i="1"/>
  <c r="J111" i="1"/>
  <c r="I111" i="1"/>
  <c r="L110" i="1"/>
  <c r="J110" i="1"/>
  <c r="I110" i="1"/>
  <c r="L109" i="1"/>
  <c r="I109" i="1"/>
  <c r="J109" i="1" s="1"/>
  <c r="L108" i="1"/>
  <c r="I108" i="1"/>
  <c r="J108" i="1" s="1"/>
  <c r="L107" i="1"/>
  <c r="J107" i="1"/>
  <c r="I107" i="1"/>
  <c r="L106" i="1"/>
  <c r="I106" i="1"/>
  <c r="J106" i="1" s="1"/>
  <c r="L105" i="1"/>
  <c r="I105" i="1"/>
  <c r="J105" i="1" s="1"/>
  <c r="L104" i="1"/>
  <c r="I104" i="1"/>
  <c r="J104" i="1" s="1"/>
  <c r="L103" i="1"/>
  <c r="I103" i="1"/>
  <c r="J103" i="1" s="1"/>
  <c r="L102" i="1"/>
  <c r="I102" i="1"/>
  <c r="J102" i="1" s="1"/>
  <c r="L101" i="1"/>
  <c r="I101" i="1"/>
  <c r="J101" i="1" s="1"/>
  <c r="L100" i="1"/>
  <c r="J100" i="1"/>
  <c r="I100" i="1"/>
  <c r="L99" i="1"/>
  <c r="I99" i="1"/>
  <c r="J99" i="1" s="1"/>
  <c r="L98" i="1"/>
  <c r="I98" i="1"/>
  <c r="J98" i="1" s="1"/>
  <c r="L97" i="1"/>
  <c r="J97" i="1"/>
  <c r="I97" i="1"/>
  <c r="L96" i="1"/>
  <c r="I96" i="1"/>
  <c r="J96" i="1" s="1"/>
  <c r="L95" i="1"/>
  <c r="I95" i="1"/>
  <c r="J95" i="1" s="1"/>
  <c r="L94" i="1"/>
  <c r="I94" i="1"/>
  <c r="J94" i="1" s="1"/>
  <c r="L93" i="1"/>
  <c r="I93" i="1"/>
  <c r="J93" i="1" s="1"/>
  <c r="L92" i="1"/>
  <c r="I92" i="1"/>
  <c r="J92" i="1" s="1"/>
  <c r="L91" i="1"/>
  <c r="I91" i="1"/>
  <c r="J91" i="1" s="1"/>
  <c r="L90" i="1"/>
  <c r="I90" i="1"/>
  <c r="J90" i="1" s="1"/>
  <c r="L89" i="1"/>
  <c r="I89" i="1"/>
  <c r="J89" i="1" s="1"/>
  <c r="L88" i="1"/>
  <c r="I88" i="1"/>
  <c r="J88" i="1" s="1"/>
  <c r="L87" i="1"/>
  <c r="I87" i="1"/>
  <c r="J87" i="1" s="1"/>
  <c r="L86" i="1"/>
  <c r="I86" i="1"/>
  <c r="J86" i="1" s="1"/>
  <c r="L85" i="1"/>
  <c r="I85" i="1"/>
  <c r="J85" i="1" s="1"/>
  <c r="L84" i="1"/>
  <c r="I84" i="1"/>
  <c r="J84" i="1" s="1"/>
  <c r="L83" i="1"/>
  <c r="I83" i="1"/>
  <c r="J83" i="1" s="1"/>
  <c r="L82" i="1"/>
  <c r="I82" i="1"/>
  <c r="J82" i="1" s="1"/>
  <c r="L81" i="1"/>
  <c r="J81" i="1"/>
  <c r="I81" i="1"/>
  <c r="L80" i="1"/>
  <c r="I80" i="1"/>
  <c r="J80" i="1" s="1"/>
  <c r="L79" i="1"/>
  <c r="J79" i="1"/>
  <c r="I79" i="1"/>
  <c r="L78" i="1"/>
  <c r="J78" i="1"/>
  <c r="I78" i="1"/>
  <c r="L77" i="1"/>
  <c r="I77" i="1"/>
  <c r="J77" i="1" s="1"/>
  <c r="L76" i="1"/>
  <c r="J76" i="1"/>
  <c r="I76" i="1"/>
  <c r="L75" i="1"/>
  <c r="I75" i="1"/>
  <c r="J75" i="1" s="1"/>
  <c r="L74" i="1"/>
  <c r="J74" i="1"/>
  <c r="I74" i="1"/>
  <c r="L73" i="1"/>
  <c r="I73" i="1"/>
  <c r="J73" i="1" s="1"/>
  <c r="L72" i="1"/>
  <c r="J72" i="1"/>
  <c r="I72" i="1"/>
  <c r="L71" i="1"/>
  <c r="I71" i="1"/>
  <c r="J71" i="1" s="1"/>
  <c r="L70" i="1"/>
  <c r="I70" i="1"/>
  <c r="J70" i="1" s="1"/>
  <c r="L69" i="1"/>
  <c r="I69" i="1"/>
  <c r="J69" i="1" s="1"/>
  <c r="L68" i="1"/>
  <c r="I68" i="1"/>
  <c r="J68" i="1" s="1"/>
  <c r="L67" i="1"/>
  <c r="I67" i="1"/>
  <c r="J67" i="1" s="1"/>
  <c r="L66" i="1"/>
  <c r="I66" i="1"/>
  <c r="J66" i="1" s="1"/>
  <c r="L65" i="1"/>
  <c r="I65" i="1"/>
  <c r="J65" i="1" s="1"/>
  <c r="L64" i="1"/>
  <c r="I64" i="1"/>
  <c r="J64" i="1" s="1"/>
  <c r="L63" i="1"/>
  <c r="I63" i="1"/>
  <c r="J63" i="1" s="1"/>
  <c r="L62" i="1"/>
  <c r="I62" i="1"/>
  <c r="J62" i="1" s="1"/>
  <c r="L61" i="1"/>
  <c r="J61" i="1"/>
  <c r="I61" i="1"/>
  <c r="L60" i="1"/>
  <c r="I60" i="1"/>
  <c r="J60" i="1" s="1"/>
  <c r="L59" i="1"/>
  <c r="J59" i="1"/>
  <c r="I59" i="1"/>
  <c r="L58" i="1"/>
  <c r="I58" i="1"/>
  <c r="J58" i="1" s="1"/>
  <c r="L57" i="1"/>
  <c r="I57" i="1"/>
  <c r="J57" i="1" s="1"/>
  <c r="L56" i="1"/>
  <c r="I56" i="1"/>
  <c r="J56" i="1" s="1"/>
  <c r="L55" i="1"/>
  <c r="I55" i="1"/>
  <c r="J55" i="1" s="1"/>
  <c r="L54" i="1"/>
  <c r="I54" i="1"/>
  <c r="J54" i="1" s="1"/>
  <c r="L53" i="1"/>
  <c r="I53" i="1"/>
  <c r="J53" i="1" s="1"/>
  <c r="L52" i="1"/>
  <c r="I52" i="1"/>
  <c r="J52" i="1" s="1"/>
  <c r="L51" i="1"/>
  <c r="I51" i="1"/>
  <c r="J51" i="1" s="1"/>
  <c r="L50" i="1"/>
  <c r="I50" i="1"/>
  <c r="J50" i="1" s="1"/>
  <c r="L49" i="1"/>
  <c r="J49" i="1"/>
  <c r="I49" i="1"/>
  <c r="L48" i="1"/>
  <c r="I48" i="1"/>
  <c r="J48" i="1" s="1"/>
  <c r="L47" i="1"/>
  <c r="I47" i="1"/>
  <c r="J47" i="1" s="1"/>
  <c r="L46" i="1"/>
  <c r="I46" i="1"/>
  <c r="J46" i="1" s="1"/>
  <c r="L45" i="1"/>
  <c r="I45" i="1"/>
  <c r="J45" i="1" s="1"/>
  <c r="L44" i="1"/>
  <c r="I44" i="1"/>
  <c r="J44" i="1" s="1"/>
  <c r="L43" i="1"/>
  <c r="I43" i="1"/>
  <c r="J43" i="1" s="1"/>
  <c r="L42" i="1"/>
  <c r="I42" i="1"/>
  <c r="J42" i="1" s="1"/>
  <c r="L41" i="1"/>
  <c r="J41" i="1"/>
  <c r="I41" i="1"/>
  <c r="L40" i="1"/>
  <c r="I40" i="1"/>
  <c r="J40" i="1" s="1"/>
  <c r="L39" i="1"/>
  <c r="I39" i="1"/>
  <c r="J39" i="1" s="1"/>
  <c r="L38" i="1"/>
  <c r="I38" i="1"/>
  <c r="J38" i="1" s="1"/>
  <c r="L37" i="1"/>
  <c r="I37" i="1"/>
  <c r="J37" i="1" s="1"/>
  <c r="L36" i="1"/>
  <c r="J36" i="1"/>
  <c r="I36" i="1"/>
  <c r="L35" i="1"/>
  <c r="I35" i="1"/>
  <c r="J35" i="1" s="1"/>
  <c r="L34" i="1"/>
  <c r="I34" i="1"/>
  <c r="J34" i="1" s="1"/>
  <c r="L33" i="1"/>
  <c r="I33" i="1"/>
  <c r="J33" i="1" s="1"/>
  <c r="L32" i="1"/>
  <c r="I32" i="1"/>
  <c r="J32" i="1" s="1"/>
  <c r="L31" i="1"/>
  <c r="I31" i="1"/>
  <c r="J31" i="1" s="1"/>
  <c r="L30" i="1"/>
  <c r="I30" i="1"/>
  <c r="J30" i="1" s="1"/>
  <c r="L29" i="1"/>
  <c r="I29" i="1"/>
  <c r="J29" i="1" s="1"/>
  <c r="L28" i="1"/>
  <c r="I28" i="1"/>
  <c r="J28" i="1" s="1"/>
  <c r="L27" i="1"/>
  <c r="I27" i="1"/>
  <c r="J27" i="1" s="1"/>
  <c r="L26" i="1"/>
  <c r="I26" i="1"/>
  <c r="J26" i="1" s="1"/>
  <c r="L25" i="1"/>
  <c r="J25" i="1"/>
  <c r="I25" i="1"/>
  <c r="L24" i="1"/>
  <c r="I24" i="1"/>
  <c r="J24" i="1" s="1"/>
  <c r="L23" i="1"/>
  <c r="I23" i="1"/>
  <c r="J23" i="1" s="1"/>
  <c r="L22" i="1"/>
  <c r="I22" i="1"/>
  <c r="J22" i="1" s="1"/>
  <c r="L21" i="1"/>
  <c r="I21" i="1"/>
  <c r="J21" i="1" s="1"/>
  <c r="L20" i="1"/>
  <c r="I20" i="1"/>
  <c r="J20" i="1" s="1"/>
  <c r="L19" i="1"/>
  <c r="J19" i="1"/>
  <c r="I19" i="1"/>
  <c r="L18" i="1"/>
  <c r="I18" i="1"/>
  <c r="J18" i="1" s="1"/>
  <c r="L17" i="1"/>
  <c r="I17" i="1"/>
  <c r="J17" i="1" s="1"/>
  <c r="L16" i="1"/>
  <c r="J16" i="1"/>
  <c r="I16" i="1"/>
  <c r="L15" i="1"/>
  <c r="I15" i="1"/>
  <c r="J15" i="1" s="1"/>
  <c r="L14" i="1"/>
  <c r="I14" i="1"/>
  <c r="J14" i="1" s="1"/>
  <c r="L13" i="1"/>
  <c r="I13" i="1"/>
  <c r="J13" i="1" s="1"/>
  <c r="L12" i="1"/>
  <c r="I12" i="1"/>
  <c r="J12" i="1" s="1"/>
  <c r="L11" i="1"/>
  <c r="J11" i="1"/>
  <c r="I11" i="1"/>
  <c r="L10" i="1"/>
  <c r="I10" i="1"/>
  <c r="J10" i="1" s="1"/>
  <c r="L9" i="1"/>
  <c r="I9" i="1"/>
  <c r="J9" i="1" s="1"/>
  <c r="L8" i="1"/>
  <c r="J8" i="1"/>
  <c r="I8" i="1"/>
  <c r="L7" i="1"/>
  <c r="J7" i="1"/>
  <c r="I7" i="1"/>
  <c r="L6" i="1"/>
  <c r="J6" i="1"/>
  <c r="I6" i="1"/>
  <c r="L5" i="1"/>
  <c r="I5" i="1"/>
  <c r="J5" i="1" s="1"/>
  <c r="L4" i="1"/>
  <c r="J4" i="1"/>
  <c r="I4" i="1"/>
  <c r="L3" i="1"/>
  <c r="I3" i="1"/>
  <c r="J3" i="1" s="1"/>
  <c r="L2" i="1"/>
  <c r="I2" i="1"/>
  <c r="J2" i="1" s="1"/>
  <c r="J5" i="2" l="1"/>
  <c r="H5" i="2"/>
  <c r="F5" i="2"/>
  <c r="D5" i="2"/>
</calcChain>
</file>

<file path=xl/sharedStrings.xml><?xml version="1.0" encoding="utf-8"?>
<sst xmlns="http://schemas.openxmlformats.org/spreadsheetml/2006/main" count="1135" uniqueCount="233">
  <si>
    <t>TicketID</t>
  </si>
  <si>
    <t>DateLogged</t>
  </si>
  <si>
    <t>Priority</t>
  </si>
  <si>
    <t>Category</t>
  </si>
  <si>
    <t>Tier</t>
  </si>
  <si>
    <t>Status</t>
  </si>
  <si>
    <t>SLA_Target_Hours</t>
  </si>
  <si>
    <t>ResolvedDateTime</t>
  </si>
  <si>
    <t>ResolutionHours</t>
  </si>
  <si>
    <t>SLA_Status</t>
  </si>
  <si>
    <t>Owner</t>
  </si>
  <si>
    <t>MonthLogged</t>
  </si>
  <si>
    <t>TCK-0001</t>
  </si>
  <si>
    <t>P3</t>
  </si>
  <si>
    <t>Access</t>
  </si>
  <si>
    <t>L2</t>
  </si>
  <si>
    <t>Closed</t>
  </si>
  <si>
    <t>K. Padilla</t>
  </si>
  <si>
    <t>TCK-0002</t>
  </si>
  <si>
    <t>L1</t>
  </si>
  <si>
    <t>TCK-0003</t>
  </si>
  <si>
    <t>Bug</t>
  </si>
  <si>
    <t>Open</t>
  </si>
  <si>
    <t>J. Ncube</t>
  </si>
  <si>
    <t>TCK-0004</t>
  </si>
  <si>
    <t>Data</t>
  </si>
  <si>
    <t>Resolved</t>
  </si>
  <si>
    <t>TCK-0005</t>
  </si>
  <si>
    <t>In Progress</t>
  </si>
  <si>
    <t>T. Alvarez</t>
  </si>
  <si>
    <t>TCK-0006</t>
  </si>
  <si>
    <t>P1</t>
  </si>
  <si>
    <t>N. Kowalski</t>
  </si>
  <si>
    <t>TCK-0007</t>
  </si>
  <si>
    <t>TCK-0008</t>
  </si>
  <si>
    <t>Change</t>
  </si>
  <si>
    <t>L. Duarte</t>
  </si>
  <si>
    <t>TCK-0009</t>
  </si>
  <si>
    <t>Hardware</t>
  </si>
  <si>
    <t>TCK-0010</t>
  </si>
  <si>
    <t>A. Mehta</t>
  </si>
  <si>
    <t>TCK-0011</t>
  </si>
  <si>
    <t>TCK-0012</t>
  </si>
  <si>
    <t>TCK-0013</t>
  </si>
  <si>
    <t>L3</t>
  </si>
  <si>
    <t>S. Iyer</t>
  </si>
  <si>
    <t>TCK-0014</t>
  </si>
  <si>
    <t>P2</t>
  </si>
  <si>
    <t>Network</t>
  </si>
  <si>
    <t>R. Fernandes</t>
  </si>
  <si>
    <t>TCK-0015</t>
  </si>
  <si>
    <t>P4</t>
  </si>
  <si>
    <t>TCK-0016</t>
  </si>
  <si>
    <t>P. Osei</t>
  </si>
  <si>
    <t>TCK-0017</t>
  </si>
  <si>
    <t>TCK-0018</t>
  </si>
  <si>
    <t>TCK-0019</t>
  </si>
  <si>
    <t>TCK-0020</t>
  </si>
  <si>
    <t>TCK-0021</t>
  </si>
  <si>
    <t>TCK-0022</t>
  </si>
  <si>
    <t>M. Choudhury</t>
  </si>
  <si>
    <t>TCK-0023</t>
  </si>
  <si>
    <t>TCK-0024</t>
  </si>
  <si>
    <t>TCK-0025</t>
  </si>
  <si>
    <t>TCK-0026</t>
  </si>
  <si>
    <t>TCK-0027</t>
  </si>
  <si>
    <t>TCK-0028</t>
  </si>
  <si>
    <t>TCK-0029</t>
  </si>
  <si>
    <t>TCK-0030</t>
  </si>
  <si>
    <t>TCK-0031</t>
  </si>
  <si>
    <t>TCK-0032</t>
  </si>
  <si>
    <t>TCK-0033</t>
  </si>
  <si>
    <t>TCK-0034</t>
  </si>
  <si>
    <t>TCK-0035</t>
  </si>
  <si>
    <t>TCK-0036</t>
  </si>
  <si>
    <t>TCK-0037</t>
  </si>
  <si>
    <t>TCK-0038</t>
  </si>
  <si>
    <t>TCK-0039</t>
  </si>
  <si>
    <t>TCK-0040</t>
  </si>
  <si>
    <t>TCK-0041</t>
  </si>
  <si>
    <t>TCK-0042</t>
  </si>
  <si>
    <t>TCK-0043</t>
  </si>
  <si>
    <t>TCK-0044</t>
  </si>
  <si>
    <t>TCK-0045</t>
  </si>
  <si>
    <t>TCK-0046</t>
  </si>
  <si>
    <t>TCK-0047</t>
  </si>
  <si>
    <t>TCK-0048</t>
  </si>
  <si>
    <t>TCK-0049</t>
  </si>
  <si>
    <t>TCK-0050</t>
  </si>
  <si>
    <t>TCK-0051</t>
  </si>
  <si>
    <t>TCK-0052</t>
  </si>
  <si>
    <t>TCK-0053</t>
  </si>
  <si>
    <t>TCK-0054</t>
  </si>
  <si>
    <t>TCK-0055</t>
  </si>
  <si>
    <t>TCK-0056</t>
  </si>
  <si>
    <t>TCK-0057</t>
  </si>
  <si>
    <t>TCK-0058</t>
  </si>
  <si>
    <t>TCK-0059</t>
  </si>
  <si>
    <t>TCK-0060</t>
  </si>
  <si>
    <t>TCK-0061</t>
  </si>
  <si>
    <t>TCK-0062</t>
  </si>
  <si>
    <t>TCK-0063</t>
  </si>
  <si>
    <t>TCK-0064</t>
  </si>
  <si>
    <t>TCK-0065</t>
  </si>
  <si>
    <t>TCK-0066</t>
  </si>
  <si>
    <t>TCK-0067</t>
  </si>
  <si>
    <t>TCK-0068</t>
  </si>
  <si>
    <t>TCK-0069</t>
  </si>
  <si>
    <t>TCK-0070</t>
  </si>
  <si>
    <t>TCK-0071</t>
  </si>
  <si>
    <t>TCK-0072</t>
  </si>
  <si>
    <t>TCK-0073</t>
  </si>
  <si>
    <t>TCK-0074</t>
  </si>
  <si>
    <t>TCK-0075</t>
  </si>
  <si>
    <t>TCK-0076</t>
  </si>
  <si>
    <t>TCK-0077</t>
  </si>
  <si>
    <t>TCK-0078</t>
  </si>
  <si>
    <t>TCK-0079</t>
  </si>
  <si>
    <t>TCK-0080</t>
  </si>
  <si>
    <t>TCK-0081</t>
  </si>
  <si>
    <t>TCK-0082</t>
  </si>
  <si>
    <t>TCK-0083</t>
  </si>
  <si>
    <t>TCK-0084</t>
  </si>
  <si>
    <t>TCK-0085</t>
  </si>
  <si>
    <t>TCK-0086</t>
  </si>
  <si>
    <t>TCK-0087</t>
  </si>
  <si>
    <t>TCK-0088</t>
  </si>
  <si>
    <t>TCK-0089</t>
  </si>
  <si>
    <t>TCK-0090</t>
  </si>
  <si>
    <t>TCK-0091</t>
  </si>
  <si>
    <t>TCK-0092</t>
  </si>
  <si>
    <t>TCK-0093</t>
  </si>
  <si>
    <t>TCK-0094</t>
  </si>
  <si>
    <t>TCK-0095</t>
  </si>
  <si>
    <t>TCK-0096</t>
  </si>
  <si>
    <t>TCK-0097</t>
  </si>
  <si>
    <t>TCK-0098</t>
  </si>
  <si>
    <t>TCK-0099</t>
  </si>
  <si>
    <t>TCK-0100</t>
  </si>
  <si>
    <t>TCK-0101</t>
  </si>
  <si>
    <t>TCK-0102</t>
  </si>
  <si>
    <t>TCK-0103</t>
  </si>
  <si>
    <t>TCK-0104</t>
  </si>
  <si>
    <t>TCK-0105</t>
  </si>
  <si>
    <t>TCK-0106</t>
  </si>
  <si>
    <t>TCK-0107</t>
  </si>
  <si>
    <t>TCK-0108</t>
  </si>
  <si>
    <t>TCK-0109</t>
  </si>
  <si>
    <t>TCK-0110</t>
  </si>
  <si>
    <t>TCK-0111</t>
  </si>
  <si>
    <t>TCK-0112</t>
  </si>
  <si>
    <t>TCK-0113</t>
  </si>
  <si>
    <t>TCK-0114</t>
  </si>
  <si>
    <t>TCK-0115</t>
  </si>
  <si>
    <t>TCK-0116</t>
  </si>
  <si>
    <t>TCK-0117</t>
  </si>
  <si>
    <t>TCK-0118</t>
  </si>
  <si>
    <t>TCK-0119</t>
  </si>
  <si>
    <t>TCK-0120</t>
  </si>
  <si>
    <t>TCK-0121</t>
  </si>
  <si>
    <t>TCK-0122</t>
  </si>
  <si>
    <t>TCK-0123</t>
  </si>
  <si>
    <t>TCK-0124</t>
  </si>
  <si>
    <t>TCK-0125</t>
  </si>
  <si>
    <t>TCK-0126</t>
  </si>
  <si>
    <t>TCK-0127</t>
  </si>
  <si>
    <t>TCK-0128</t>
  </si>
  <si>
    <t>TCK-0129</t>
  </si>
  <si>
    <t>TCK-0130</t>
  </si>
  <si>
    <t>TCK-0131</t>
  </si>
  <si>
    <t>TCK-0132</t>
  </si>
  <si>
    <t>TCK-0133</t>
  </si>
  <si>
    <t>TCK-0134</t>
  </si>
  <si>
    <t>TCK-0135</t>
  </si>
  <si>
    <t>TCK-0136</t>
  </si>
  <si>
    <t>TCK-0137</t>
  </si>
  <si>
    <t>TCK-0138</t>
  </si>
  <si>
    <t>TCK-0139</t>
  </si>
  <si>
    <t>TCK-0140</t>
  </si>
  <si>
    <t>TCK-0141</t>
  </si>
  <si>
    <t>TCK-0142</t>
  </si>
  <si>
    <t>TCK-0143</t>
  </si>
  <si>
    <t>TCK-0144</t>
  </si>
  <si>
    <t>TCK-0145</t>
  </si>
  <si>
    <t>TCK-0146</t>
  </si>
  <si>
    <t>TCK-0147</t>
  </si>
  <si>
    <t>TCK-0148</t>
  </si>
  <si>
    <t>TCK-0149</t>
  </si>
  <si>
    <t>TCK-0150</t>
  </si>
  <si>
    <t>TCK-0151</t>
  </si>
  <si>
    <t>TCK-0152</t>
  </si>
  <si>
    <t>TCK-0153</t>
  </si>
  <si>
    <t>TCK-0154</t>
  </si>
  <si>
    <t>TCK-0155</t>
  </si>
  <si>
    <t>TCK-0156</t>
  </si>
  <si>
    <t>TCK-0157</t>
  </si>
  <si>
    <t>TCK-0158</t>
  </si>
  <si>
    <t>TCK-0159</t>
  </si>
  <si>
    <t>TCK-0160</t>
  </si>
  <si>
    <t>TCK-0161</t>
  </si>
  <si>
    <t>TCK-0162</t>
  </si>
  <si>
    <t>TCK-0163</t>
  </si>
  <si>
    <t>TCK-0164</t>
  </si>
  <si>
    <t>TCK-0165</t>
  </si>
  <si>
    <t>TCK-0166</t>
  </si>
  <si>
    <t>TCK-0167</t>
  </si>
  <si>
    <t>TCK-0168</t>
  </si>
  <si>
    <t>TCK-0169</t>
  </si>
  <si>
    <t>TCK-0170</t>
  </si>
  <si>
    <t>TCK-0171</t>
  </si>
  <si>
    <t>TCK-0172</t>
  </si>
  <si>
    <t>TCK-0173</t>
  </si>
  <si>
    <t>TCK-0174</t>
  </si>
  <si>
    <t>TCK-0175</t>
  </si>
  <si>
    <t>TCK-0176</t>
  </si>
  <si>
    <t>TCK-0177</t>
  </si>
  <si>
    <t>TCK-0178</t>
  </si>
  <si>
    <t>TCK-0179</t>
  </si>
  <si>
    <t>TCK-0180</t>
  </si>
  <si>
    <t>SLA and Support Ticket Tracker: Dashboard</t>
  </si>
  <si>
    <t>Total Tickets</t>
  </si>
  <si>
    <t>SLA Compliance %</t>
  </si>
  <si>
    <t>Open Tickets</t>
  </si>
  <si>
    <t>Total Breaches</t>
  </si>
  <si>
    <t>Avg Resolution Hours</t>
  </si>
  <si>
    <t>Charts above are PivotCharts with Priority + Tier slicers. Supporting PivotTables are below (row 40+).</t>
  </si>
  <si>
    <t>Row Labels</t>
  </si>
  <si>
    <t>Grand Total</t>
  </si>
  <si>
    <t>Column Labels</t>
  </si>
  <si>
    <t>Count of Tickets</t>
  </si>
  <si>
    <t>Breached</t>
  </si>
  <si>
    <t>Met</t>
  </si>
  <si>
    <t>Supporting PivotTables (source data behind the 4 charts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</si>
</sst>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yyyy\-mm\-dd\ hh:mm"/>
    <numFmt numFmtId="166" formatCode="0.0"/>
    <numFmt numFmtId="167" formatCode="mmm\-yyyy"/>
    <numFmt numFmtId="168" formatCode="0.0%"/>
  </numFmts>
  <fonts count="7" x14ac:knownFonts="1">
    <font>
      <sz val="11"/>
      <color theme="1"/>
      <name val="Calibri"/>
      <family val="2"/>
      <scheme val="minor"/>
    </font>
    <font>
      <b/>
      <sz val="11"/>
      <color rgb="FFFFFFFF"/>
      <name val="Calibri"/>
    </font>
    <font>
      <b/>
      <sz val="16"/>
      <color rgb="FF3A332C"/>
      <name val="Calibri"/>
    </font>
    <font>
      <sz val="10"/>
      <color rgb="FF8A7F73"/>
      <name val="Calibri"/>
    </font>
    <font>
      <b/>
      <sz val="20"/>
      <color rgb="FFA15C3D"/>
      <name val="Calibri"/>
    </font>
    <font>
      <i/>
      <sz val="9"/>
      <color rgb="FF8A7F73"/>
      <name val="Calibri"/>
    </font>
    <font>
      <i/>
      <sz val="9"/>
      <color rgb="FF8A7F73"/>
      <name val="Calibri"/>
      <family val="2"/>
      <scheme val="minor"/>
    </font>
  </fonts>
  <fills count="4">
    <fill>
      <patternFill patternType="none"/>
    </fill>
    <fill>
      <patternFill patternType="gray125"/>
    </fill>
    <fill>
      <patternFill patternType="solid">
        <fgColor rgb="FF3A332C"/>
      </patternFill>
    </fill>
    <fill>
      <patternFill patternType="solid">
        <fgColor rgb="FFF4EFE7"/>
      </patternFill>
    </fill>
  </fills>
  <borders count="2">
    <border>
      <left/>
      <right/>
      <top/>
      <bottom/>
      <diagonal/>
    </border>
    <border>
      <left style="thin">
        <color rgb="FFE1D6C4"/>
      </left>
      <right style="thin">
        <color rgb="FFE1D6C4"/>
      </right>
      <top style="thin">
        <color rgb="FFE1D6C4"/>
      </top>
      <bottom style="thin">
        <color rgb="FFE1D6C4"/>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2" fillId="0" borderId="0" xfId="0" applyFont="1"/>
    <xf numFmtId="0" fontId="3" fillId="3" borderId="1" xfId="0" applyFont="1" applyFill="1" applyBorder="1" applyAlignment="1">
      <alignment horizontal="left" vertical="center"/>
    </xf>
    <xf numFmtId="0" fontId="4" fillId="3" borderId="1" xfId="0" applyFont="1" applyFill="1" applyBorder="1" applyAlignment="1">
      <alignment horizontal="left" vertical="center"/>
    </xf>
    <xf numFmtId="168" fontId="4" fillId="3" borderId="1" xfId="0" applyNumberFormat="1" applyFont="1" applyFill="1" applyBorder="1" applyAlignment="1">
      <alignment horizontal="left" vertical="center"/>
    </xf>
    <xf numFmtId="166" fontId="4" fillId="3" borderId="1" xfId="0" applyNumberFormat="1" applyFont="1" applyFill="1" applyBorder="1" applyAlignment="1">
      <alignment horizontal="left" vertical="center"/>
    </xf>
    <xf numFmtId="0" fontId="0" fillId="3" borderId="1" xfId="0" applyFill="1" applyBorder="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applyAlignment="1">
      <alignment horizontal="left"/>
    </xf>
    <xf numFmtId="0" fontId="6" fillId="0" borderId="0" xfId="0" applyFont="1"/>
  </cellXfs>
  <cellStyles count="1">
    <cellStyle name="Normal" xfId="0" builtinId="0"/>
  </cellStyles>
  <dxfs count="8">
    <dxf>
      <font>
        <b/>
        <i val="0"/>
        <strike val="0"/>
        <condense val="0"/>
        <extend val="0"/>
        <outline val="0"/>
        <shadow val="0"/>
        <u val="none"/>
        <vertAlign val="baseline"/>
        <sz val="11"/>
        <color rgb="FFFFFFFF"/>
        <name val="Calibri"/>
        <scheme val="none"/>
      </font>
      <fill>
        <patternFill patternType="solid">
          <fgColor indexed="64"/>
          <bgColor rgb="FF3A332C"/>
        </patternFill>
      </fill>
      <alignment horizontal="center" vertical="center" textRotation="0" wrapText="0" indent="0" justifyLastLine="0" shrinkToFit="0" readingOrder="0"/>
    </dxf>
    <dxf>
      <numFmt numFmtId="167" formatCode="mmm\-yyyy"/>
    </dxf>
    <dxf>
      <numFmt numFmtId="166" formatCode="0.0"/>
    </dxf>
    <dxf>
      <numFmt numFmtId="165" formatCode="yyyy\-mm\-dd\ hh:mm"/>
    </dxf>
    <dxf>
      <numFmt numFmtId="165" formatCode="yyyy\-mm\-dd\ hh:mm"/>
    </dxf>
    <dxf>
      <font>
        <color rgb="FF8C6A22"/>
      </font>
      <fill>
        <patternFill patternType="solid">
          <fgColor rgb="FFF5E7C9"/>
        </patternFill>
      </fill>
    </dxf>
    <dxf>
      <font>
        <color rgb="FF8C4B3A"/>
      </font>
      <fill>
        <patternFill patternType="solid">
          <fgColor rgb="FFF0DCD6"/>
        </patternFill>
      </fill>
    </dxf>
    <dxf>
      <font>
        <color rgb="FF4B6142"/>
      </font>
      <fill>
        <patternFill patternType="solid">
          <fgColor rgb="FFDCE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[SLA_Support_Ticket_Tracker.xlsx]Dashboard!PT_TierPriority</c:name>
    <c:fmtId val="0"/>
  </c:pivotSource>
  <c:chart>
    <c:title>
      <c:tx>
        <c:rich>
          <a:bodyPr/>
          <a:lstStyle/>
          <a:p>
            <a:pPr>
              <a:defRPr b="1">
                <a:solidFill>
                  <a:srgbClr val="3A332C"/>
                </a:solidFill>
              </a:defRPr>
            </a:pPr>
            <a:r>
              <a:rPr lang="en-GB"/>
              <a:t>Tickets by Tier and Priority</a:t>
            </a:r>
          </a:p>
        </c:rich>
      </c:tx>
      <c:overlay val="0"/>
    </c:title>
    <c:autoTitleDeleted val="0"/>
    <c:pivotFmts>
      <c:pivotFmt>
        <c:idx val="0"/>
        <c:spPr>
          <a:solidFill>
            <a:srgbClr val="A15C3D"/>
          </a:solidFill>
          <a:ln>
            <a:solidFill>
              <a:srgbClr val="A15C3D"/>
            </a:solidFill>
          </a:ln>
        </c:spPr>
        <c:marker>
          <c:symbol val="none"/>
        </c:marker>
        <c:dLbl>
          <c:idx val="0"/>
          <c:delete val="1"/>
          <c:extLst>
            <c:ext xmlns:c15="http://schemas.microsoft.com/office/drawing/2012/chart" uri="{CE6537A1-D6FC-4f65-9D91-7224C49458BB}"/>
          </c:extLst>
        </c:dLbl>
      </c:pivotFmt>
      <c:pivotFmt>
        <c:idx val="1"/>
        <c:spPr>
          <a:solidFill>
            <a:srgbClr val="C6952F"/>
          </a:solidFill>
          <a:ln>
            <a:solidFill>
              <a:srgbClr val="C6952F"/>
            </a:solidFill>
          </a:ln>
        </c:spPr>
        <c:marker>
          <c:symbol val="none"/>
        </c:marker>
        <c:dLbl>
          <c:idx val="0"/>
          <c:delete val="1"/>
          <c:extLst>
            <c:ext xmlns:c15="http://schemas.microsoft.com/office/drawing/2012/chart" uri="{CE6537A1-D6FC-4f65-9D91-7224C49458BB}"/>
          </c:extLst>
        </c:dLbl>
      </c:pivotFmt>
      <c:pivotFmt>
        <c:idx val="2"/>
        <c:spPr>
          <a:solidFill>
            <a:srgbClr val="7A8C5E"/>
          </a:solidFill>
          <a:ln>
            <a:solidFill>
              <a:srgbClr val="7A8C5E"/>
            </a:solidFill>
          </a:ln>
        </c:spPr>
        <c:marker>
          <c:symbol val="none"/>
        </c:marker>
        <c:dLbl>
          <c:idx val="0"/>
          <c:delete val="1"/>
          <c:extLst>
            <c:ext xmlns:c15="http://schemas.microsoft.com/office/drawing/2012/chart" uri="{CE6537A1-D6FC-4f65-9D91-7224C49458BB}"/>
          </c:extLst>
        </c:dLbl>
      </c:pivotFmt>
      <c:pivotFmt>
        <c:idx val="3"/>
        <c:spPr>
          <a:solidFill>
            <a:srgbClr val="9C6B6E"/>
          </a:solidFill>
          <a:ln>
            <a:solidFill>
              <a:srgbClr val="9C6B6E"/>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Dashboard!$C$46:$C$47</c:f>
              <c:strCache>
                <c:ptCount val="1"/>
                <c:pt idx="0">
                  <c:v>P1</c:v>
                </c:pt>
              </c:strCache>
            </c:strRef>
          </c:tx>
          <c:spPr>
            <a:solidFill>
              <a:srgbClr val="A15C3D"/>
            </a:solidFill>
            <a:ln>
              <a:solidFill>
                <a:srgbClr val="A15C3D"/>
              </a:solidFill>
            </a:ln>
          </c:spPr>
          <c:invertIfNegative val="0"/>
          <c:cat>
            <c:strRef>
              <c:f>Dashboard!$B$48:$B$51</c:f>
              <c:strCache>
                <c:ptCount val="3"/>
                <c:pt idx="0">
                  <c:v>L1</c:v>
                </c:pt>
                <c:pt idx="1">
                  <c:v>L2</c:v>
                </c:pt>
                <c:pt idx="2">
                  <c:v>L3</c:v>
                </c:pt>
              </c:strCache>
            </c:strRef>
          </c:cat>
          <c:val>
            <c:numRef>
              <c:f>Dashboard!$C$48:$C$51</c:f>
              <c:numCache>
                <c:formatCode>General</c:formatCode>
                <c:ptCount val="3"/>
                <c:pt idx="0">
                  <c:v>3</c:v>
                </c:pt>
                <c:pt idx="1">
                  <c:v>5</c:v>
                </c:pt>
                <c:pt idx="2">
                  <c:v>1</c:v>
                </c:pt>
              </c:numCache>
            </c:numRef>
          </c:val>
          <c:extLst>
            <c:ext xmlns:c16="http://schemas.microsoft.com/office/drawing/2014/chart" uri="{C3380CC4-5D6E-409C-BE32-E72D297353CC}">
              <c16:uniqueId val="{00000001-8779-4A6A-BADE-5DC468C4E5C8}"/>
            </c:ext>
          </c:extLst>
        </c:ser>
        <c:ser>
          <c:idx val="1"/>
          <c:order val="1"/>
          <c:tx>
            <c:strRef>
              <c:f>Dashboard!$D$46:$D$47</c:f>
              <c:strCache>
                <c:ptCount val="1"/>
                <c:pt idx="0">
                  <c:v>P2</c:v>
                </c:pt>
              </c:strCache>
            </c:strRef>
          </c:tx>
          <c:spPr>
            <a:solidFill>
              <a:srgbClr val="C6952F"/>
            </a:solidFill>
            <a:ln>
              <a:solidFill>
                <a:srgbClr val="C6952F"/>
              </a:solidFill>
            </a:ln>
          </c:spPr>
          <c:invertIfNegative val="0"/>
          <c:cat>
            <c:strRef>
              <c:f>Dashboard!$B$48:$B$51</c:f>
              <c:strCache>
                <c:ptCount val="3"/>
                <c:pt idx="0">
                  <c:v>L1</c:v>
                </c:pt>
                <c:pt idx="1">
                  <c:v>L2</c:v>
                </c:pt>
                <c:pt idx="2">
                  <c:v>L3</c:v>
                </c:pt>
              </c:strCache>
            </c:strRef>
          </c:cat>
          <c:val>
            <c:numRef>
              <c:f>Dashboard!$D$48:$D$51</c:f>
              <c:numCache>
                <c:formatCode>General</c:formatCode>
                <c:ptCount val="3"/>
                <c:pt idx="0">
                  <c:v>17</c:v>
                </c:pt>
                <c:pt idx="1">
                  <c:v>19</c:v>
                </c:pt>
                <c:pt idx="2">
                  <c:v>4</c:v>
                </c:pt>
              </c:numCache>
            </c:numRef>
          </c:val>
          <c:extLst>
            <c:ext xmlns:c16="http://schemas.microsoft.com/office/drawing/2014/chart" uri="{C3380CC4-5D6E-409C-BE32-E72D297353CC}">
              <c16:uniqueId val="{00000002-8779-4A6A-BADE-5DC468C4E5C8}"/>
            </c:ext>
          </c:extLst>
        </c:ser>
        <c:ser>
          <c:idx val="2"/>
          <c:order val="2"/>
          <c:tx>
            <c:strRef>
              <c:f>Dashboard!$E$46:$E$47</c:f>
              <c:strCache>
                <c:ptCount val="1"/>
                <c:pt idx="0">
                  <c:v>P3</c:v>
                </c:pt>
              </c:strCache>
            </c:strRef>
          </c:tx>
          <c:spPr>
            <a:solidFill>
              <a:srgbClr val="7A8C5E"/>
            </a:solidFill>
            <a:ln>
              <a:solidFill>
                <a:srgbClr val="7A8C5E"/>
              </a:solidFill>
            </a:ln>
          </c:spPr>
          <c:invertIfNegative val="0"/>
          <c:cat>
            <c:strRef>
              <c:f>Dashboard!$B$48:$B$51</c:f>
              <c:strCache>
                <c:ptCount val="3"/>
                <c:pt idx="0">
                  <c:v>L1</c:v>
                </c:pt>
                <c:pt idx="1">
                  <c:v>L2</c:v>
                </c:pt>
                <c:pt idx="2">
                  <c:v>L3</c:v>
                </c:pt>
              </c:strCache>
            </c:strRef>
          </c:cat>
          <c:val>
            <c:numRef>
              <c:f>Dashboard!$E$48:$E$51</c:f>
              <c:numCache>
                <c:formatCode>General</c:formatCode>
                <c:ptCount val="3"/>
                <c:pt idx="0">
                  <c:v>51</c:v>
                </c:pt>
                <c:pt idx="1">
                  <c:v>31</c:v>
                </c:pt>
                <c:pt idx="2">
                  <c:v>12</c:v>
                </c:pt>
              </c:numCache>
            </c:numRef>
          </c:val>
          <c:extLst>
            <c:ext xmlns:c16="http://schemas.microsoft.com/office/drawing/2014/chart" uri="{C3380CC4-5D6E-409C-BE32-E72D297353CC}">
              <c16:uniqueId val="{00000003-8779-4A6A-BADE-5DC468C4E5C8}"/>
            </c:ext>
          </c:extLst>
        </c:ser>
        <c:ser>
          <c:idx val="3"/>
          <c:order val="3"/>
          <c:tx>
            <c:strRef>
              <c:f>Dashboard!$F$46:$F$47</c:f>
              <c:strCache>
                <c:ptCount val="1"/>
                <c:pt idx="0">
                  <c:v>P4</c:v>
                </c:pt>
              </c:strCache>
            </c:strRef>
          </c:tx>
          <c:spPr>
            <a:solidFill>
              <a:srgbClr val="9C6B6E"/>
            </a:solidFill>
            <a:ln>
              <a:solidFill>
                <a:srgbClr val="9C6B6E"/>
              </a:solidFill>
            </a:ln>
          </c:spPr>
          <c:invertIfNegative val="0"/>
          <c:cat>
            <c:strRef>
              <c:f>Dashboard!$B$48:$B$51</c:f>
              <c:strCache>
                <c:ptCount val="3"/>
                <c:pt idx="0">
                  <c:v>L1</c:v>
                </c:pt>
                <c:pt idx="1">
                  <c:v>L2</c:v>
                </c:pt>
                <c:pt idx="2">
                  <c:v>L3</c:v>
                </c:pt>
              </c:strCache>
            </c:strRef>
          </c:cat>
          <c:val>
            <c:numRef>
              <c:f>Dashboard!$F$48:$F$51</c:f>
              <c:numCache>
                <c:formatCode>General</c:formatCode>
                <c:ptCount val="3"/>
                <c:pt idx="0">
                  <c:v>22</c:v>
                </c:pt>
                <c:pt idx="1">
                  <c:v>14</c:v>
                </c:pt>
                <c:pt idx="2">
                  <c:v>1</c:v>
                </c:pt>
              </c:numCache>
            </c:numRef>
          </c:val>
          <c:extLst>
            <c:ext xmlns:c16="http://schemas.microsoft.com/office/drawing/2014/chart" uri="{C3380CC4-5D6E-409C-BE32-E72D297353CC}">
              <c16:uniqueId val="{00000004-8779-4A6A-BADE-5DC468C4E5C8}"/>
            </c:ext>
          </c:extLst>
        </c:ser>
        <c:dLbls>
          <c:showLegendKey val="0"/>
          <c:showVal val="0"/>
          <c:showCatName val="0"/>
          <c:showSerName val="0"/>
          <c:showPercent val="0"/>
          <c:showBubbleSize val="0"/>
        </c:dLbls>
        <c:gapWidth val="150"/>
        <c:axId val="2010092079"/>
        <c:axId val="1449919503"/>
      </c:barChart>
      <c:catAx>
        <c:axId val="2010092079"/>
        <c:scaling>
          <c:orientation val="minMax"/>
        </c:scaling>
        <c:delete val="0"/>
        <c:axPos val="b"/>
        <c:numFmt formatCode="General" sourceLinked="1"/>
        <c:majorTickMark val="out"/>
        <c:minorTickMark val="none"/>
        <c:tickLblPos val="nextTo"/>
        <c:crossAx val="1449919503"/>
        <c:crosses val="autoZero"/>
        <c:auto val="1"/>
        <c:lblAlgn val="ctr"/>
        <c:lblOffset val="100"/>
        <c:noMultiLvlLbl val="0"/>
      </c:catAx>
      <c:valAx>
        <c:axId val="1449919503"/>
        <c:scaling>
          <c:orientation val="minMax"/>
        </c:scaling>
        <c:delete val="0"/>
        <c:axPos val="l"/>
        <c:majorGridlines/>
        <c:numFmt formatCode="General" sourceLinked="1"/>
        <c:majorTickMark val="out"/>
        <c:minorTickMark val="none"/>
        <c:tickLblPos val="nextTo"/>
        <c:crossAx val="201009207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[SLA_Support_Ticket_Tracker.xlsx]Dashboard!PT_SLAStatus</c:name>
    <c:fmtId val="0"/>
  </c:pivotSource>
  <c:chart>
    <c:title>
      <c:tx>
        <c:rich>
          <a:bodyPr/>
          <a:lstStyle/>
          <a:p>
            <a:pPr>
              <a:defRPr b="1">
                <a:solidFill>
                  <a:srgbClr val="3A332C"/>
                </a:solidFill>
              </a:defRPr>
            </a:pPr>
            <a:r>
              <a:rPr lang="en-GB"/>
              <a:t>SLA Compliance: Met vs Breached</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A15C3D"/>
          </a:solidFill>
        </c:spPr>
      </c:pivotFmt>
      <c:pivotFmt>
        <c:idx val="2"/>
        <c:spPr>
          <a:solidFill>
            <a:srgbClr val="7A8C5E"/>
          </a:solidFill>
        </c:spPr>
      </c:pivotFmt>
    </c:pivotFmts>
    <c:plotArea>
      <c:layout/>
      <c:pieChart>
        <c:varyColors val="1"/>
        <c:ser>
          <c:idx val="0"/>
          <c:order val="0"/>
          <c:tx>
            <c:strRef>
              <c:f>Dashboard!$M$46</c:f>
              <c:strCache>
                <c:ptCount val="1"/>
                <c:pt idx="0">
                  <c:v>Total</c:v>
                </c:pt>
              </c:strCache>
            </c:strRef>
          </c:tx>
          <c:dPt>
            <c:idx val="0"/>
            <c:bubble3D val="0"/>
            <c:spPr>
              <a:solidFill>
                <a:srgbClr val="A15C3D"/>
              </a:solidFill>
            </c:spPr>
            <c:extLst>
              <c:ext xmlns:c16="http://schemas.microsoft.com/office/drawing/2014/chart" uri="{C3380CC4-5D6E-409C-BE32-E72D297353CC}">
                <c16:uniqueId val="{00000002-0CCD-403E-9D1A-B66E9ACBFA5D}"/>
              </c:ext>
            </c:extLst>
          </c:dPt>
          <c:dPt>
            <c:idx val="1"/>
            <c:bubble3D val="0"/>
            <c:spPr>
              <a:solidFill>
                <a:srgbClr val="7A8C5E"/>
              </a:solidFill>
            </c:spPr>
            <c:extLst>
              <c:ext xmlns:c16="http://schemas.microsoft.com/office/drawing/2014/chart" uri="{C3380CC4-5D6E-409C-BE32-E72D297353CC}">
                <c16:uniqueId val="{00000003-0CCD-403E-9D1A-B66E9ACBFA5D}"/>
              </c:ext>
            </c:extLst>
          </c:dPt>
          <c:cat>
            <c:strRef>
              <c:f>Dashboard!$L$47:$L$49</c:f>
              <c:strCache>
                <c:ptCount val="2"/>
                <c:pt idx="0">
                  <c:v>Breached</c:v>
                </c:pt>
                <c:pt idx="1">
                  <c:v>Met</c:v>
                </c:pt>
              </c:strCache>
            </c:strRef>
          </c:cat>
          <c:val>
            <c:numRef>
              <c:f>Dashboard!$M$47:$M$49</c:f>
              <c:numCache>
                <c:formatCode>General</c:formatCode>
                <c:ptCount val="2"/>
                <c:pt idx="0">
                  <c:v>26</c:v>
                </c:pt>
                <c:pt idx="1">
                  <c:v>114</c:v>
                </c:pt>
              </c:numCache>
            </c:numRef>
          </c:val>
          <c:extLst>
            <c:ext xmlns:c16="http://schemas.microsoft.com/office/drawing/2014/chart" uri="{C3380CC4-5D6E-409C-BE32-E72D297353CC}">
              <c16:uniqueId val="{00000001-0CCD-403E-9D1A-B66E9ACBFA5D}"/>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[SLA_Support_Ticket_Tracker.xlsx]Dashboard!PT_BreachByPriority</c:name>
    <c:fmtId val="0"/>
  </c:pivotSource>
  <c:chart>
    <c:title>
      <c:tx>
        <c:rich>
          <a:bodyPr/>
          <a:lstStyle/>
          <a:p>
            <a:pPr>
              <a:defRPr b="1">
                <a:solidFill>
                  <a:srgbClr val="3A332C"/>
                </a:solidFill>
              </a:defRPr>
            </a:pPr>
            <a:r>
              <a:rPr lang="en-GB"/>
              <a:t>Breaches by Priority</a:t>
            </a:r>
          </a:p>
        </c:rich>
      </c:tx>
      <c:overlay val="0"/>
    </c:title>
    <c:autoTitleDeleted val="0"/>
    <c:pivotFmts>
      <c:pivotFmt>
        <c:idx val="0"/>
        <c:spPr>
          <a:solidFill>
            <a:srgbClr val="A15C3D"/>
          </a:solidFill>
          <a:ln>
            <a:solidFill>
              <a:srgbClr val="A15C3D"/>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Dashboard!$W$46</c:f>
              <c:strCache>
                <c:ptCount val="1"/>
                <c:pt idx="0">
                  <c:v>Total</c:v>
                </c:pt>
              </c:strCache>
            </c:strRef>
          </c:tx>
          <c:spPr>
            <a:solidFill>
              <a:srgbClr val="A15C3D"/>
            </a:solidFill>
            <a:ln>
              <a:solidFill>
                <a:srgbClr val="A15C3D"/>
              </a:solidFill>
            </a:ln>
          </c:spPr>
          <c:invertIfNegative val="0"/>
          <c:cat>
            <c:strRef>
              <c:f>Dashboard!$V$47:$V$51</c:f>
              <c:strCache>
                <c:ptCount val="4"/>
                <c:pt idx="0">
                  <c:v>P1</c:v>
                </c:pt>
                <c:pt idx="1">
                  <c:v>P2</c:v>
                </c:pt>
                <c:pt idx="2">
                  <c:v>P3</c:v>
                </c:pt>
                <c:pt idx="3">
                  <c:v>P4</c:v>
                </c:pt>
              </c:strCache>
            </c:strRef>
          </c:cat>
          <c:val>
            <c:numRef>
              <c:f>Dashboard!$W$47:$W$51</c:f>
              <c:numCache>
                <c:formatCode>General</c:formatCode>
                <c:ptCount val="4"/>
                <c:pt idx="0">
                  <c:v>1</c:v>
                </c:pt>
                <c:pt idx="1">
                  <c:v>8</c:v>
                </c:pt>
                <c:pt idx="2">
                  <c:v>11</c:v>
                </c:pt>
                <c:pt idx="3">
                  <c:v>6</c:v>
                </c:pt>
              </c:numCache>
            </c:numRef>
          </c:val>
          <c:extLst>
            <c:ext xmlns:c16="http://schemas.microsoft.com/office/drawing/2014/chart" uri="{C3380CC4-5D6E-409C-BE32-E72D297353CC}">
              <c16:uniqueId val="{00000001-E3A3-4E9C-BD0D-C82DBAF32CAF}"/>
            </c:ext>
          </c:extLst>
        </c:ser>
        <c:dLbls>
          <c:showLegendKey val="0"/>
          <c:showVal val="0"/>
          <c:showCatName val="0"/>
          <c:showSerName val="0"/>
          <c:showPercent val="0"/>
          <c:showBubbleSize val="0"/>
        </c:dLbls>
        <c:gapWidth val="150"/>
        <c:axId val="1161988463"/>
        <c:axId val="1450014543"/>
      </c:barChart>
      <c:catAx>
        <c:axId val="1161988463"/>
        <c:scaling>
          <c:orientation val="minMax"/>
        </c:scaling>
        <c:delete val="0"/>
        <c:axPos val="b"/>
        <c:numFmt formatCode="General" sourceLinked="1"/>
        <c:majorTickMark val="out"/>
        <c:minorTickMark val="none"/>
        <c:tickLblPos val="nextTo"/>
        <c:crossAx val="1450014543"/>
        <c:crosses val="autoZero"/>
        <c:auto val="1"/>
        <c:lblAlgn val="ctr"/>
        <c:lblOffset val="100"/>
        <c:noMultiLvlLbl val="0"/>
      </c:catAx>
      <c:valAx>
        <c:axId val="1450014543"/>
        <c:scaling>
          <c:orientation val="minMax"/>
        </c:scaling>
        <c:delete val="0"/>
        <c:axPos val="l"/>
        <c:majorGridlines/>
        <c:numFmt formatCode="General" sourceLinked="1"/>
        <c:majorTickMark val="out"/>
        <c:minorTickMark val="none"/>
        <c:tickLblPos val="nextTo"/>
        <c:crossAx val="116198846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[SLA_Support_Ticket_Tracker.xlsx]Dashboard!PT_OpenClosedTime</c:name>
    <c:fmtId val="0"/>
  </c:pivotSource>
  <c:chart>
    <c:title>
      <c:tx>
        <c:rich>
          <a:bodyPr/>
          <a:lstStyle/>
          <a:p>
            <a:pPr>
              <a:defRPr b="1">
                <a:solidFill>
                  <a:srgbClr val="3A332C"/>
                </a:solidFill>
              </a:defRPr>
            </a:pPr>
            <a:r>
              <a:rPr lang="en-GB"/>
              <a:t>Open vs Closed Over Time</a:t>
            </a:r>
          </a:p>
        </c:rich>
      </c:tx>
      <c:overlay val="0"/>
    </c:title>
    <c:autoTitleDeleted val="0"/>
    <c:pivotFmts>
      <c:pivotFmt>
        <c:idx val="0"/>
        <c:spPr>
          <a:ln>
            <a:solidFill>
              <a:srgbClr val="A15C3D"/>
            </a:solidFill>
          </a:ln>
        </c:spPr>
        <c:marker>
          <c:symbol val="none"/>
        </c:marker>
        <c:dLbl>
          <c:idx val="0"/>
          <c:delete val="1"/>
          <c:extLst>
            <c:ext xmlns:c15="http://schemas.microsoft.com/office/drawing/2012/chart" uri="{CE6537A1-D6FC-4f65-9D91-7224C49458BB}"/>
          </c:extLst>
        </c:dLbl>
      </c:pivotFmt>
      <c:pivotFmt>
        <c:idx val="1"/>
        <c:spPr>
          <a:ln>
            <a:solidFill>
              <a:srgbClr val="C6952F"/>
            </a:solidFill>
          </a:ln>
        </c:spPr>
        <c:marker>
          <c:symbol val="none"/>
        </c:marker>
        <c:dLbl>
          <c:idx val="0"/>
          <c:delete val="1"/>
          <c:extLst>
            <c:ext xmlns:c15="http://schemas.microsoft.com/office/drawing/2012/chart" uri="{CE6537A1-D6FC-4f65-9D91-7224C49458BB}"/>
          </c:extLst>
        </c:dLbl>
      </c:pivotFmt>
      <c:pivotFmt>
        <c:idx val="2"/>
        <c:spPr>
          <a:ln>
            <a:solidFill>
              <a:srgbClr val="7A8C5E"/>
            </a:solidFill>
          </a:ln>
        </c:spPr>
        <c:marker>
          <c:symbol val="none"/>
        </c:marker>
        <c:dLbl>
          <c:idx val="0"/>
          <c:delete val="1"/>
          <c:extLst>
            <c:ext xmlns:c15="http://schemas.microsoft.com/office/drawing/2012/chart" uri="{CE6537A1-D6FC-4f65-9D91-7224C49458BB}"/>
          </c:extLst>
        </c:dLbl>
      </c:pivotFmt>
      <c:pivotFmt>
        <c:idx val="3"/>
        <c:spPr>
          <a:ln>
            <a:solidFill>
              <a:srgbClr val="9C6B6E"/>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Dashboard!$AG$46:$AG$47</c:f>
              <c:strCache>
                <c:ptCount val="1"/>
                <c:pt idx="0">
                  <c:v>Closed</c:v>
                </c:pt>
              </c:strCache>
            </c:strRef>
          </c:tx>
          <c:spPr>
            <a:ln>
              <a:solidFill>
                <a:srgbClr val="A15C3D"/>
              </a:solidFill>
            </a:ln>
          </c:spPr>
          <c:marker>
            <c:symbol val="none"/>
          </c:marker>
          <c:cat>
            <c:strRef>
              <c:f>Dashboard!$AF$48:$AF$60</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Dashboard!$AG$48:$AG$60</c:f>
              <c:numCache>
                <c:formatCode>General</c:formatCode>
                <c:ptCount val="12"/>
                <c:pt idx="0">
                  <c:v>13</c:v>
                </c:pt>
                <c:pt idx="1">
                  <c:v>7</c:v>
                </c:pt>
                <c:pt idx="2">
                  <c:v>8</c:v>
                </c:pt>
                <c:pt idx="3">
                  <c:v>9</c:v>
                </c:pt>
                <c:pt idx="4">
                  <c:v>9</c:v>
                </c:pt>
                <c:pt idx="5">
                  <c:v>7</c:v>
                </c:pt>
                <c:pt idx="6">
                  <c:v>5</c:v>
                </c:pt>
                <c:pt idx="7">
                  <c:v>7</c:v>
                </c:pt>
                <c:pt idx="8">
                  <c:v>7</c:v>
                </c:pt>
                <c:pt idx="9">
                  <c:v>6</c:v>
                </c:pt>
                <c:pt idx="10">
                  <c:v>11</c:v>
                </c:pt>
                <c:pt idx="11">
                  <c:v>8</c:v>
                </c:pt>
              </c:numCache>
            </c:numRef>
          </c:val>
          <c:smooth val="0"/>
          <c:extLst>
            <c:ext xmlns:c16="http://schemas.microsoft.com/office/drawing/2014/chart" uri="{C3380CC4-5D6E-409C-BE32-E72D297353CC}">
              <c16:uniqueId val="{00000001-3223-4367-99A4-7D50594CEC21}"/>
            </c:ext>
          </c:extLst>
        </c:ser>
        <c:ser>
          <c:idx val="1"/>
          <c:order val="1"/>
          <c:tx>
            <c:strRef>
              <c:f>Dashboard!$AH$46:$AH$47</c:f>
              <c:strCache>
                <c:ptCount val="1"/>
                <c:pt idx="0">
                  <c:v>In Progress</c:v>
                </c:pt>
              </c:strCache>
            </c:strRef>
          </c:tx>
          <c:spPr>
            <a:ln>
              <a:solidFill>
                <a:srgbClr val="C6952F"/>
              </a:solidFill>
            </a:ln>
          </c:spPr>
          <c:marker>
            <c:symbol val="none"/>
          </c:marker>
          <c:cat>
            <c:strRef>
              <c:f>Dashboard!$AF$48:$AF$60</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Dashboard!$AH$48:$AH$60</c:f>
              <c:numCache>
                <c:formatCode>General</c:formatCode>
                <c:ptCount val="12"/>
                <c:pt idx="0">
                  <c:v>3</c:v>
                </c:pt>
                <c:pt idx="1">
                  <c:v>2</c:v>
                </c:pt>
                <c:pt idx="2">
                  <c:v>2</c:v>
                </c:pt>
                <c:pt idx="3">
                  <c:v>1</c:v>
                </c:pt>
                <c:pt idx="4">
                  <c:v>2</c:v>
                </c:pt>
                <c:pt idx="5">
                  <c:v>3</c:v>
                </c:pt>
                <c:pt idx="8">
                  <c:v>2</c:v>
                </c:pt>
                <c:pt idx="9">
                  <c:v>1</c:v>
                </c:pt>
                <c:pt idx="10">
                  <c:v>2</c:v>
                </c:pt>
                <c:pt idx="11">
                  <c:v>1</c:v>
                </c:pt>
              </c:numCache>
            </c:numRef>
          </c:val>
          <c:smooth val="0"/>
          <c:extLst>
            <c:ext xmlns:c16="http://schemas.microsoft.com/office/drawing/2014/chart" uri="{C3380CC4-5D6E-409C-BE32-E72D297353CC}">
              <c16:uniqueId val="{00000002-3223-4367-99A4-7D50594CEC21}"/>
            </c:ext>
          </c:extLst>
        </c:ser>
        <c:ser>
          <c:idx val="2"/>
          <c:order val="2"/>
          <c:tx>
            <c:strRef>
              <c:f>Dashboard!$AI$46:$AI$47</c:f>
              <c:strCache>
                <c:ptCount val="1"/>
                <c:pt idx="0">
                  <c:v>Open</c:v>
                </c:pt>
              </c:strCache>
            </c:strRef>
          </c:tx>
          <c:spPr>
            <a:ln>
              <a:solidFill>
                <a:srgbClr val="7A8C5E"/>
              </a:solidFill>
            </a:ln>
          </c:spPr>
          <c:marker>
            <c:symbol val="none"/>
          </c:marker>
          <c:cat>
            <c:strRef>
              <c:f>Dashboard!$AF$48:$AF$60</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Dashboard!$AI$48:$AI$60</c:f>
              <c:numCache>
                <c:formatCode>General</c:formatCode>
                <c:ptCount val="12"/>
                <c:pt idx="0">
                  <c:v>1</c:v>
                </c:pt>
                <c:pt idx="1">
                  <c:v>1</c:v>
                </c:pt>
                <c:pt idx="2">
                  <c:v>1</c:v>
                </c:pt>
                <c:pt idx="3">
                  <c:v>3</c:v>
                </c:pt>
                <c:pt idx="4">
                  <c:v>2</c:v>
                </c:pt>
                <c:pt idx="5">
                  <c:v>2</c:v>
                </c:pt>
                <c:pt idx="7">
                  <c:v>2</c:v>
                </c:pt>
                <c:pt idx="8">
                  <c:v>5</c:v>
                </c:pt>
                <c:pt idx="9">
                  <c:v>1</c:v>
                </c:pt>
                <c:pt idx="10">
                  <c:v>1</c:v>
                </c:pt>
                <c:pt idx="11">
                  <c:v>2</c:v>
                </c:pt>
              </c:numCache>
            </c:numRef>
          </c:val>
          <c:smooth val="0"/>
          <c:extLst>
            <c:ext xmlns:c16="http://schemas.microsoft.com/office/drawing/2014/chart" uri="{C3380CC4-5D6E-409C-BE32-E72D297353CC}">
              <c16:uniqueId val="{00000003-3223-4367-99A4-7D50594CEC21}"/>
            </c:ext>
          </c:extLst>
        </c:ser>
        <c:ser>
          <c:idx val="3"/>
          <c:order val="3"/>
          <c:tx>
            <c:strRef>
              <c:f>Dashboard!$AJ$46:$AJ$47</c:f>
              <c:strCache>
                <c:ptCount val="1"/>
                <c:pt idx="0">
                  <c:v>Resolved</c:v>
                </c:pt>
              </c:strCache>
            </c:strRef>
          </c:tx>
          <c:spPr>
            <a:ln>
              <a:solidFill>
                <a:srgbClr val="9C6B6E"/>
              </a:solidFill>
            </a:ln>
          </c:spPr>
          <c:marker>
            <c:symbol val="none"/>
          </c:marker>
          <c:cat>
            <c:strRef>
              <c:f>Dashboard!$AF$48:$AF$60</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Dashboard!$AJ$48:$AJ$60</c:f>
              <c:numCache>
                <c:formatCode>General</c:formatCode>
                <c:ptCount val="12"/>
                <c:pt idx="0">
                  <c:v>3</c:v>
                </c:pt>
                <c:pt idx="1">
                  <c:v>2</c:v>
                </c:pt>
                <c:pt idx="2">
                  <c:v>4</c:v>
                </c:pt>
                <c:pt idx="3">
                  <c:v>3</c:v>
                </c:pt>
                <c:pt idx="4">
                  <c:v>3</c:v>
                </c:pt>
                <c:pt idx="5">
                  <c:v>4</c:v>
                </c:pt>
                <c:pt idx="6">
                  <c:v>4</c:v>
                </c:pt>
                <c:pt idx="7">
                  <c:v>3</c:v>
                </c:pt>
                <c:pt idx="8">
                  <c:v>4</c:v>
                </c:pt>
                <c:pt idx="9">
                  <c:v>6</c:v>
                </c:pt>
                <c:pt idx="10">
                  <c:v>3</c:v>
                </c:pt>
                <c:pt idx="11">
                  <c:v>4</c:v>
                </c:pt>
              </c:numCache>
            </c:numRef>
          </c:val>
          <c:smooth val="0"/>
          <c:extLst>
            <c:ext xmlns:c16="http://schemas.microsoft.com/office/drawing/2014/chart" uri="{C3380CC4-5D6E-409C-BE32-E72D297353CC}">
              <c16:uniqueId val="{00000004-3223-4367-99A4-7D50594CEC21}"/>
            </c:ext>
          </c:extLst>
        </c:ser>
        <c:dLbls>
          <c:showLegendKey val="0"/>
          <c:showVal val="0"/>
          <c:showCatName val="0"/>
          <c:showSerName val="0"/>
          <c:showPercent val="0"/>
          <c:showBubbleSize val="0"/>
        </c:dLbls>
        <c:smooth val="0"/>
        <c:axId val="1161994959"/>
        <c:axId val="1450011183"/>
      </c:lineChart>
      <c:catAx>
        <c:axId val="1161994959"/>
        <c:scaling>
          <c:orientation val="minMax"/>
        </c:scaling>
        <c:delete val="0"/>
        <c:axPos val="b"/>
        <c:numFmt formatCode="General" sourceLinked="1"/>
        <c:majorTickMark val="out"/>
        <c:minorTickMark val="none"/>
        <c:tickLblPos val="nextTo"/>
        <c:crossAx val="1450011183"/>
        <c:crosses val="autoZero"/>
        <c:auto val="1"/>
        <c:lblAlgn val="ctr"/>
        <c:lblOffset val="100"/>
        <c:noMultiLvlLbl val="0"/>
      </c:catAx>
      <c:valAx>
        <c:axId val="1450011183"/>
        <c:scaling>
          <c:orientation val="minMax"/>
        </c:scaling>
        <c:delete val="0"/>
        <c:axPos val="l"/>
        <c:majorGridlines/>
        <c:numFmt formatCode="General" sourceLinked="1"/>
        <c:majorTickMark val="out"/>
        <c:minorTickMark val="none"/>
        <c:tickLblPos val="nextTo"/>
        <c:crossAx val="116199495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9</xdr:col>
      <xdr:colOff>103187</xdr:colOff>
      <xdr:row>26</xdr:row>
      <xdr:rowOff>98425</xdr:rowOff>
    </xdr:to>
    <xdr:graphicFrame macro="">
      <xdr:nvGraphicFramePr>
        <xdr:cNvPr id="2" name="Chart 1">
          <a:extLst>
            <a:ext uri="{FF2B5EF4-FFF2-40B4-BE49-F238E27FC236}">
              <a16:creationId xmlns:a16="http://schemas.microsoft.com/office/drawing/2014/main" id="{1A3A7E6A-5545-6AD8-7CC8-436BB0AE5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357187</xdr:colOff>
      <xdr:row>9</xdr:row>
      <xdr:rowOff>0</xdr:rowOff>
    </xdr:from>
    <xdr:to>
      <xdr:col>16</xdr:col>
      <xdr:colOff>22225</xdr:colOff>
      <xdr:row>26</xdr:row>
      <xdr:rowOff>98425</xdr:rowOff>
    </xdr:to>
    <xdr:graphicFrame macro="">
      <xdr:nvGraphicFramePr>
        <xdr:cNvPr id="3" name="Chart 2">
          <a:extLst>
            <a:ext uri="{FF2B5EF4-FFF2-40B4-BE49-F238E27FC236}">
              <a16:creationId xmlns:a16="http://schemas.microsoft.com/office/drawing/2014/main" id="{A856006C-BAE4-D763-EE63-CE5B19DF2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171450</xdr:rowOff>
    </xdr:from>
    <xdr:to>
      <xdr:col>9</xdr:col>
      <xdr:colOff>103187</xdr:colOff>
      <xdr:row>45</xdr:row>
      <xdr:rowOff>88900</xdr:rowOff>
    </xdr:to>
    <xdr:graphicFrame macro="">
      <xdr:nvGraphicFramePr>
        <xdr:cNvPr id="4" name="Chart 3">
          <a:extLst>
            <a:ext uri="{FF2B5EF4-FFF2-40B4-BE49-F238E27FC236}">
              <a16:creationId xmlns:a16="http://schemas.microsoft.com/office/drawing/2014/main" id="{DEA7321C-B6CB-9699-EE55-1624C930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357187</xdr:colOff>
      <xdr:row>27</xdr:row>
      <xdr:rowOff>171450</xdr:rowOff>
    </xdr:from>
    <xdr:to>
      <xdr:col>16</xdr:col>
      <xdr:colOff>22225</xdr:colOff>
      <xdr:row>45</xdr:row>
      <xdr:rowOff>88900</xdr:rowOff>
    </xdr:to>
    <xdr:graphicFrame macro="">
      <xdr:nvGraphicFramePr>
        <xdr:cNvPr id="5" name="Chart 4">
          <a:extLst>
            <a:ext uri="{FF2B5EF4-FFF2-40B4-BE49-F238E27FC236}">
              <a16:creationId xmlns:a16="http://schemas.microsoft.com/office/drawing/2014/main" id="{6DFC84A8-BFC3-6C92-2A96-54CB4C012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530225</xdr:colOff>
      <xdr:row>9</xdr:row>
      <xdr:rowOff>0</xdr:rowOff>
    </xdr:from>
    <xdr:to>
      <xdr:col>19</xdr:col>
      <xdr:colOff>492124</xdr:colOff>
      <xdr:row>20</xdr:row>
      <xdr:rowOff>41275</xdr:rowOff>
    </xdr:to>
    <mc:AlternateContent xmlns:mc="http://schemas.openxmlformats.org/markup-compatibility/2006">
      <mc:Choice xmlns:a14="http://schemas.microsoft.com/office/drawing/2010/main" Requires="a14">
        <xdr:graphicFrame macro="">
          <xdr:nvGraphicFramePr>
            <xdr:cNvPr id="6" name="PrioritySlicer">
              <a:extLst>
                <a:ext uri="{FF2B5EF4-FFF2-40B4-BE49-F238E27FC236}">
                  <a16:creationId xmlns:a16="http://schemas.microsoft.com/office/drawing/2014/main" id="{3638B37E-AF37-4113-A4BF-E9B8CFA11EFA}"/>
                </a:ext>
              </a:extLst>
            </xdr:cNvPr>
            <xdr:cNvGraphicFramePr/>
          </xdr:nvGraphicFramePr>
          <xdr:xfrm>
            <a:off x="0" y="0"/>
            <a:ext cx="0" cy="0"/>
          </xdr:xfrm>
          <a:graphic>
            <a:graphicData uri="http://schemas.microsoft.com/office/drawing/2010/slicer">
              <sle:slicer xmlns:sle="http://schemas.microsoft.com/office/drawing/2010/slicer" name="PrioritySlicer"/>
            </a:graphicData>
          </a:graphic>
        </xdr:graphicFrame>
      </mc:Choice>
      <mc:Fallback>
        <xdr:sp macro="" textlink="">
          <xdr:nvSpPr>
            <xdr:cNvPr id="0" name=""/>
            <xdr:cNvSpPr>
              <a:spLocks noTextEdit="1"/>
            </xdr:cNvSpPr>
          </xdr:nvSpPr>
          <xdr:spPr>
            <a:xfrm>
              <a:off x="12520519" y="1748118"/>
              <a:ext cx="1911723" cy="20135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530225</xdr:colOff>
      <xdr:row>20</xdr:row>
      <xdr:rowOff>168275</xdr:rowOff>
    </xdr:from>
    <xdr:to>
      <xdr:col>19</xdr:col>
      <xdr:colOff>492124</xdr:colOff>
      <xdr:row>32</xdr:row>
      <xdr:rowOff>28575</xdr:rowOff>
    </xdr:to>
    <mc:AlternateContent xmlns:mc="http://schemas.openxmlformats.org/markup-compatibility/2006">
      <mc:Choice xmlns:a14="http://schemas.microsoft.com/office/drawing/2010/main" Requires="a14">
        <xdr:graphicFrame macro="">
          <xdr:nvGraphicFramePr>
            <xdr:cNvPr id="7" name="TierSlicer">
              <a:extLst>
                <a:ext uri="{FF2B5EF4-FFF2-40B4-BE49-F238E27FC236}">
                  <a16:creationId xmlns:a16="http://schemas.microsoft.com/office/drawing/2014/main" id="{1A74CACA-53B9-D70C-972F-2856E4ACAFDA}"/>
                </a:ext>
              </a:extLst>
            </xdr:cNvPr>
            <xdr:cNvGraphicFramePr/>
          </xdr:nvGraphicFramePr>
          <xdr:xfrm>
            <a:off x="0" y="0"/>
            <a:ext cx="0" cy="0"/>
          </xdr:xfrm>
          <a:graphic>
            <a:graphicData uri="http://schemas.microsoft.com/office/drawing/2010/slicer">
              <sle:slicer xmlns:sle="http://schemas.microsoft.com/office/drawing/2010/slicer" name="TierSlicer"/>
            </a:graphicData>
          </a:graphic>
        </xdr:graphicFrame>
      </mc:Choice>
      <mc:Fallback>
        <xdr:sp macro="" textlink="">
          <xdr:nvSpPr>
            <xdr:cNvPr id="0" name=""/>
            <xdr:cNvSpPr>
              <a:spLocks noTextEdit="1"/>
            </xdr:cNvSpPr>
          </xdr:nvSpPr>
          <xdr:spPr>
            <a:xfrm>
              <a:off x="12520519" y="3888628"/>
              <a:ext cx="1911723" cy="20118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GS" refreshedDate="46275.062128935184" createdVersion="8" refreshedVersion="8" minRefreshableVersion="3" recordCount="180" xr:uid="{D5309CBB-FC4C-481E-8097-6E9DFA989F7F}">
  <cacheSource type="worksheet">
    <worksheetSource name="TicketsTable"/>
  </cacheSource>
  <cacheFields count="12">
    <cacheField name="TicketID" numFmtId="0">
      <sharedItems/>
    </cacheField>
    <cacheField name="DateLogged" numFmtId="165">
      <sharedItems containsSemiMixedTypes="0" containsNonDate="0" containsDate="1" containsString="0" minDate="2025-01-03T08:54:36" maxDate="2025-12-29T04:57:23"/>
    </cacheField>
    <cacheField name="Priority" numFmtId="0">
      <sharedItems count="4">
        <s v="P3"/>
        <s v="P1"/>
        <s v="P2"/>
        <s v="P4"/>
      </sharedItems>
    </cacheField>
    <cacheField name="Category" numFmtId="0">
      <sharedItems/>
    </cacheField>
    <cacheField name="Tier" numFmtId="0">
      <sharedItems count="3">
        <s v="L2"/>
        <s v="L1"/>
        <s v="L3"/>
      </sharedItems>
    </cacheField>
    <cacheField name="Status" numFmtId="0">
      <sharedItems count="4">
        <s v="Closed"/>
        <s v="Open"/>
        <s v="Resolved"/>
        <s v="In Progress"/>
      </sharedItems>
    </cacheField>
    <cacheField name="SLA_Target_Hours" numFmtId="0">
      <sharedItems containsSemiMixedTypes="0" containsString="0" containsNumber="1" containsInteger="1" minValue="4" maxValue="72"/>
    </cacheField>
    <cacheField name="ResolvedDateTime" numFmtId="0">
      <sharedItems containsNonDate="0" containsDate="1" containsString="0" containsBlank="1" minDate="2025-01-04T02:30:46" maxDate="2025-12-30T00:27:16"/>
    </cacheField>
    <cacheField name="ResolutionHours" numFmtId="166">
      <sharedItems containsMixedTypes="1" containsNumber="1" minValue="0.62844494625460356" maxValue="196.57370595645625"/>
    </cacheField>
    <cacheField name="SLA_Status" numFmtId="0">
      <sharedItems count="3">
        <s v="Breached"/>
        <s v="Open"/>
        <s v="Met"/>
      </sharedItems>
    </cacheField>
    <cacheField name="Owner" numFmtId="0">
      <sharedItems/>
    </cacheField>
    <cacheField name="MonthLogged" numFmtId="167">
      <sharedItems containsSemiMixedTypes="0" containsNonDate="0" containsDate="1" containsString="0" minDate="2025-01-01T00:00:00" maxDate="2025-12-02T00:00:00" count="12">
        <d v="2025-03-01T00:00:00"/>
        <d v="2025-04-01T00:00:00"/>
        <d v="2025-11-01T00:00:00"/>
        <d v="2025-10-01T00:00:00"/>
        <d v="2025-02-01T00:00:00"/>
        <d v="2025-12-01T00:00:00"/>
        <d v="2025-01-01T00:00:00"/>
        <d v="2025-07-01T00:00:00"/>
        <d v="2025-05-01T00:00:00"/>
        <d v="2025-09-01T00:00:00"/>
        <d v="2025-08-01T00:00:00"/>
        <d v="2025-06-01T00:00:00"/>
      </sharedItems>
    </cacheField>
  </cacheFields>
  <extLst>
    <ext xmlns:x14="http://schemas.microsoft.com/office/spreadsheetml/2009/9/main" uri="{725AE2AE-9491-48be-B2B4-4EB974FC3084}">
      <x14:pivotCacheDefinition pivotCacheId="1138251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TCK-0001"/>
    <d v="2025-03-28T16:28:29"/>
    <x v="0"/>
    <s v="Access"/>
    <x v="0"/>
    <x v="0"/>
    <n v="24"/>
    <d v="2025-03-31T00:46:58"/>
    <n v="56.308045276149642"/>
    <x v="0"/>
    <s v="K. Padilla"/>
    <x v="0"/>
  </r>
  <r>
    <s v="TCK-0002"/>
    <d v="2025-04-01T08:33:24"/>
    <x v="0"/>
    <s v="Access"/>
    <x v="1"/>
    <x v="0"/>
    <n v="24"/>
    <d v="2025-04-02T18:06:28"/>
    <n v="33.551181329065003"/>
    <x v="0"/>
    <s v="K. Padilla"/>
    <x v="1"/>
  </r>
  <r>
    <s v="TCK-0003"/>
    <d v="2025-11-11T08:26:19"/>
    <x v="0"/>
    <s v="Bug"/>
    <x v="1"/>
    <x v="1"/>
    <n v="24"/>
    <m/>
    <s v=""/>
    <x v="1"/>
    <s v="J. Ncube"/>
    <x v="2"/>
  </r>
  <r>
    <s v="TCK-0004"/>
    <d v="2025-10-24T12:16:51"/>
    <x v="0"/>
    <s v="Data"/>
    <x v="1"/>
    <x v="2"/>
    <n v="24"/>
    <d v="2025-10-25T17:32:35"/>
    <n v="29.262087827024516"/>
    <x v="0"/>
    <s v="K. Padilla"/>
    <x v="3"/>
  </r>
  <r>
    <s v="TCK-0005"/>
    <d v="2025-02-18T11:27:50"/>
    <x v="0"/>
    <s v="Access"/>
    <x v="0"/>
    <x v="3"/>
    <n v="24"/>
    <m/>
    <s v=""/>
    <x v="1"/>
    <s v="T. Alvarez"/>
    <x v="4"/>
  </r>
  <r>
    <s v="TCK-0006"/>
    <d v="2025-12-10T21:00:30"/>
    <x v="1"/>
    <s v="Data"/>
    <x v="0"/>
    <x v="1"/>
    <n v="4"/>
    <m/>
    <s v=""/>
    <x v="1"/>
    <s v="N. Kowalski"/>
    <x v="5"/>
  </r>
  <r>
    <s v="TCK-0007"/>
    <d v="2025-01-31T23:42:54"/>
    <x v="0"/>
    <s v="Access"/>
    <x v="0"/>
    <x v="1"/>
    <n v="24"/>
    <m/>
    <s v=""/>
    <x v="1"/>
    <s v="J. Ncube"/>
    <x v="6"/>
  </r>
  <r>
    <s v="TCK-0008"/>
    <d v="2025-03-05T04:02:45"/>
    <x v="0"/>
    <s v="Change"/>
    <x v="0"/>
    <x v="2"/>
    <n v="24"/>
    <d v="2025-03-05T11:12:17"/>
    <n v="7.1589449879829772"/>
    <x v="2"/>
    <s v="L. Duarte"/>
    <x v="0"/>
  </r>
  <r>
    <s v="TCK-0009"/>
    <d v="2025-10-11T03:57:15"/>
    <x v="0"/>
    <s v="Hardware"/>
    <x v="0"/>
    <x v="2"/>
    <n v="24"/>
    <d v="2025-10-11T11:10:46"/>
    <n v="7.2252354939118959"/>
    <x v="2"/>
    <s v="T. Alvarez"/>
    <x v="3"/>
  </r>
  <r>
    <s v="TCK-0010"/>
    <d v="2025-03-30T22:52:57"/>
    <x v="0"/>
    <s v="Bug"/>
    <x v="0"/>
    <x v="3"/>
    <n v="24"/>
    <m/>
    <s v=""/>
    <x v="1"/>
    <s v="A. Mehta"/>
    <x v="0"/>
  </r>
  <r>
    <s v="TCK-0011"/>
    <d v="2025-12-07T08:20:17"/>
    <x v="0"/>
    <s v="Access"/>
    <x v="1"/>
    <x v="2"/>
    <n v="24"/>
    <d v="2025-12-07T20:40:51"/>
    <n v="12.342841711943038"/>
    <x v="2"/>
    <s v="N. Kowalski"/>
    <x v="5"/>
  </r>
  <r>
    <s v="TCK-0012"/>
    <d v="2025-10-17T07:48:02"/>
    <x v="0"/>
    <s v="Bug"/>
    <x v="1"/>
    <x v="2"/>
    <n v="24"/>
    <d v="2025-10-17T22:02:55"/>
    <n v="14.247959301515948"/>
    <x v="2"/>
    <s v="K. Padilla"/>
    <x v="3"/>
  </r>
  <r>
    <s v="TCK-0013"/>
    <d v="2025-07-17T21:07:45"/>
    <x v="0"/>
    <s v="Bug"/>
    <x v="2"/>
    <x v="0"/>
    <n v="24"/>
    <d v="2025-07-18T17:32:56"/>
    <n v="20.419816944049671"/>
    <x v="2"/>
    <s v="S. Iyer"/>
    <x v="7"/>
  </r>
  <r>
    <s v="TCK-0014"/>
    <d v="2025-05-30T10:17:28"/>
    <x v="2"/>
    <s v="Network"/>
    <x v="1"/>
    <x v="2"/>
    <n v="8"/>
    <d v="2025-05-30T14:37:40"/>
    <n v="4.3366107273031957"/>
    <x v="2"/>
    <s v="R. Fernandes"/>
    <x v="8"/>
  </r>
  <r>
    <s v="TCK-0015"/>
    <d v="2025-09-22T18:00:04"/>
    <x v="3"/>
    <s v="Access"/>
    <x v="0"/>
    <x v="3"/>
    <n v="72"/>
    <m/>
    <s v=""/>
    <x v="1"/>
    <s v="R. Fernandes"/>
    <x v="9"/>
  </r>
  <r>
    <s v="TCK-0016"/>
    <d v="2025-03-03T10:08:13"/>
    <x v="3"/>
    <s v="Data"/>
    <x v="1"/>
    <x v="0"/>
    <n v="72"/>
    <d v="2025-03-06T00:23:03"/>
    <n v="62.247112887853291"/>
    <x v="2"/>
    <s v="P. Osei"/>
    <x v="0"/>
  </r>
  <r>
    <s v="TCK-0017"/>
    <d v="2025-12-05T01:49:16"/>
    <x v="0"/>
    <s v="Bug"/>
    <x v="1"/>
    <x v="0"/>
    <n v="24"/>
    <d v="2025-12-05T14:21:08"/>
    <n v="12.531035525724292"/>
    <x v="2"/>
    <s v="R. Fernandes"/>
    <x v="5"/>
  </r>
  <r>
    <s v="TCK-0018"/>
    <d v="2025-12-23T16:58:47"/>
    <x v="0"/>
    <s v="Bug"/>
    <x v="1"/>
    <x v="1"/>
    <n v="24"/>
    <m/>
    <s v=""/>
    <x v="1"/>
    <s v="T. Alvarez"/>
    <x v="5"/>
  </r>
  <r>
    <s v="TCK-0019"/>
    <d v="2025-04-03T23:51:26"/>
    <x v="2"/>
    <s v="Data"/>
    <x v="2"/>
    <x v="0"/>
    <n v="8"/>
    <d v="2025-04-04T07:18:09"/>
    <n v="7.445303873391822"/>
    <x v="2"/>
    <s v="J. Ncube"/>
    <x v="1"/>
  </r>
  <r>
    <s v="TCK-0020"/>
    <d v="2025-10-25T10:05:39"/>
    <x v="0"/>
    <s v="Access"/>
    <x v="2"/>
    <x v="0"/>
    <n v="24"/>
    <d v="2025-10-26T08:25:40"/>
    <n v="22.333662530989386"/>
    <x v="2"/>
    <s v="T. Alvarez"/>
    <x v="3"/>
  </r>
  <r>
    <s v="TCK-0021"/>
    <d v="2025-12-27T18:06:04"/>
    <x v="0"/>
    <s v="Hardware"/>
    <x v="1"/>
    <x v="2"/>
    <n v="24"/>
    <d v="2025-12-28T02:15:31"/>
    <n v="8.1575076214503497"/>
    <x v="2"/>
    <s v="K. Padilla"/>
    <x v="5"/>
  </r>
  <r>
    <s v="TCK-0022"/>
    <d v="2025-02-16T23:50:27"/>
    <x v="0"/>
    <s v="Change"/>
    <x v="2"/>
    <x v="0"/>
    <n v="24"/>
    <d v="2025-02-18T01:55:27"/>
    <n v="26.083438920148183"/>
    <x v="0"/>
    <s v="M. Choudhury"/>
    <x v="4"/>
  </r>
  <r>
    <s v="TCK-0023"/>
    <d v="2025-03-30T21:53:31"/>
    <x v="0"/>
    <s v="Access"/>
    <x v="1"/>
    <x v="0"/>
    <n v="24"/>
    <d v="2025-04-01T12:58:12"/>
    <n v="39.077996541629545"/>
    <x v="0"/>
    <s v="A. Mehta"/>
    <x v="0"/>
  </r>
  <r>
    <s v="TCK-0024"/>
    <d v="2025-10-08T22:08:04"/>
    <x v="2"/>
    <s v="Change"/>
    <x v="1"/>
    <x v="3"/>
    <n v="8"/>
    <m/>
    <s v=""/>
    <x v="1"/>
    <s v="S. Iyer"/>
    <x v="3"/>
  </r>
  <r>
    <s v="TCK-0025"/>
    <d v="2025-02-06T15:10:48"/>
    <x v="2"/>
    <s v="Change"/>
    <x v="0"/>
    <x v="0"/>
    <n v="8"/>
    <d v="2025-02-06T18:43:53"/>
    <n v="3.5514249553671107"/>
    <x v="2"/>
    <s v="K. Padilla"/>
    <x v="4"/>
  </r>
  <r>
    <s v="TCK-0026"/>
    <d v="2025-01-24T12:57:03"/>
    <x v="0"/>
    <s v="Network"/>
    <x v="0"/>
    <x v="0"/>
    <n v="24"/>
    <d v="2025-01-25T09:23:00"/>
    <n v="20.432531011523679"/>
    <x v="2"/>
    <s v="R. Fernandes"/>
    <x v="6"/>
  </r>
  <r>
    <s v="TCK-0027"/>
    <d v="2025-04-19T04:13:44"/>
    <x v="2"/>
    <s v="Change"/>
    <x v="1"/>
    <x v="2"/>
    <n v="8"/>
    <d v="2025-04-19T05:11:23"/>
    <n v="0.96086356969317421"/>
    <x v="2"/>
    <s v="S. Iyer"/>
    <x v="1"/>
  </r>
  <r>
    <s v="TCK-0028"/>
    <d v="2025-11-21T16:20:30"/>
    <x v="3"/>
    <s v="Access"/>
    <x v="1"/>
    <x v="0"/>
    <n v="72"/>
    <d v="2025-11-28T18:53:27"/>
    <n v="170.54925350641133"/>
    <x v="0"/>
    <s v="T. Alvarez"/>
    <x v="2"/>
  </r>
  <r>
    <s v="TCK-0029"/>
    <d v="2025-12-17T11:22:37"/>
    <x v="0"/>
    <s v="Change"/>
    <x v="1"/>
    <x v="0"/>
    <n v="24"/>
    <d v="2025-12-18T10:34:09"/>
    <n v="23.19209339300869"/>
    <x v="2"/>
    <s v="P. Osei"/>
    <x v="5"/>
  </r>
  <r>
    <s v="TCK-0030"/>
    <d v="2025-09-15T01:05:15"/>
    <x v="3"/>
    <s v="Change"/>
    <x v="1"/>
    <x v="2"/>
    <n v="72"/>
    <d v="2025-09-16T00:33:18"/>
    <n v="23.467555994982831"/>
    <x v="2"/>
    <s v="T. Alvarez"/>
    <x v="9"/>
  </r>
  <r>
    <s v="TCK-0031"/>
    <d v="2025-01-23T04:49:08"/>
    <x v="0"/>
    <s v="Hardware"/>
    <x v="1"/>
    <x v="0"/>
    <n v="24"/>
    <d v="2025-01-24T02:32:23"/>
    <n v="21.720720760175027"/>
    <x v="2"/>
    <s v="L. Duarte"/>
    <x v="6"/>
  </r>
  <r>
    <s v="TCK-0032"/>
    <d v="2025-01-27T14:39:54"/>
    <x v="1"/>
    <s v="Hardware"/>
    <x v="1"/>
    <x v="0"/>
    <n v="4"/>
    <d v="2025-01-27T15:44:24"/>
    <n v="1.0749584896839224"/>
    <x v="2"/>
    <s v="S. Iyer"/>
    <x v="6"/>
  </r>
  <r>
    <s v="TCK-0033"/>
    <d v="2025-08-29T13:03:14"/>
    <x v="3"/>
    <s v="Bug"/>
    <x v="0"/>
    <x v="0"/>
    <n v="72"/>
    <d v="2025-08-31T06:30:05"/>
    <n v="41.447594820347149"/>
    <x v="2"/>
    <s v="A. Mehta"/>
    <x v="10"/>
  </r>
  <r>
    <s v="TCK-0034"/>
    <d v="2025-04-14T03:42:24"/>
    <x v="2"/>
    <s v="Network"/>
    <x v="0"/>
    <x v="0"/>
    <n v="8"/>
    <d v="2025-04-14T06:20:19"/>
    <n v="2.6319782738573849"/>
    <x v="2"/>
    <s v="K. Padilla"/>
    <x v="1"/>
  </r>
  <r>
    <s v="TCK-0035"/>
    <d v="2025-08-07T15:28:51"/>
    <x v="3"/>
    <s v="Access"/>
    <x v="1"/>
    <x v="1"/>
    <n v="72"/>
    <m/>
    <s v=""/>
    <x v="1"/>
    <s v="N. Kowalski"/>
    <x v="10"/>
  </r>
  <r>
    <s v="TCK-0036"/>
    <d v="2025-12-09T02:14:57"/>
    <x v="0"/>
    <s v="Hardware"/>
    <x v="1"/>
    <x v="0"/>
    <n v="24"/>
    <d v="2025-12-09T09:48:36"/>
    <n v="7.5609185719513334"/>
    <x v="2"/>
    <s v="L. Duarte"/>
    <x v="5"/>
  </r>
  <r>
    <s v="TCK-0037"/>
    <d v="2025-01-04T00:54:59"/>
    <x v="0"/>
    <s v="Data"/>
    <x v="0"/>
    <x v="0"/>
    <n v="24"/>
    <d v="2025-01-04T22:54:47"/>
    <n v="21.996794800332282"/>
    <x v="2"/>
    <s v="T. Alvarez"/>
    <x v="6"/>
  </r>
  <r>
    <s v="TCK-0038"/>
    <d v="2025-10-16T07:49:30"/>
    <x v="3"/>
    <s v="Data"/>
    <x v="1"/>
    <x v="2"/>
    <n v="72"/>
    <d v="2025-10-18T03:55:28"/>
    <n v="44.099405218090396"/>
    <x v="2"/>
    <s v="R. Fernandes"/>
    <x v="3"/>
  </r>
  <r>
    <s v="TCK-0039"/>
    <d v="2025-07-09T17:26:48"/>
    <x v="2"/>
    <s v="Network"/>
    <x v="0"/>
    <x v="0"/>
    <n v="8"/>
    <d v="2025-07-09T18:13:29"/>
    <n v="0.77794376882957295"/>
    <x v="2"/>
    <s v="T. Alvarez"/>
    <x v="7"/>
  </r>
  <r>
    <s v="TCK-0040"/>
    <d v="2025-09-05T10:19:37"/>
    <x v="3"/>
    <s v="Access"/>
    <x v="1"/>
    <x v="1"/>
    <n v="72"/>
    <m/>
    <s v=""/>
    <x v="1"/>
    <s v="S. Iyer"/>
    <x v="9"/>
  </r>
  <r>
    <s v="TCK-0041"/>
    <d v="2025-01-04T18:07:41"/>
    <x v="0"/>
    <s v="Hardware"/>
    <x v="0"/>
    <x v="0"/>
    <n v="24"/>
    <d v="2025-01-05T10:45:06"/>
    <n v="16.623558002058417"/>
    <x v="2"/>
    <s v="T. Alvarez"/>
    <x v="6"/>
  </r>
  <r>
    <s v="TCK-0042"/>
    <d v="2025-06-16T21:54:09"/>
    <x v="1"/>
    <s v="Data"/>
    <x v="0"/>
    <x v="2"/>
    <n v="4"/>
    <d v="2025-06-17T01:26:48"/>
    <n v="3.5442111379816197"/>
    <x v="2"/>
    <s v="S. Iyer"/>
    <x v="11"/>
  </r>
  <r>
    <s v="TCK-0043"/>
    <d v="2025-09-17T00:16:11"/>
    <x v="3"/>
    <s v="Data"/>
    <x v="1"/>
    <x v="0"/>
    <n v="72"/>
    <d v="2025-09-19T15:04:17"/>
    <n v="62.801659609365743"/>
    <x v="2"/>
    <s v="K. Padilla"/>
    <x v="9"/>
  </r>
  <r>
    <s v="TCK-0044"/>
    <d v="2025-12-02T18:42:33"/>
    <x v="0"/>
    <s v="Bug"/>
    <x v="2"/>
    <x v="0"/>
    <n v="24"/>
    <d v="2025-12-02T23:51:40"/>
    <n v="5.1518089055316523"/>
    <x v="2"/>
    <s v="K. Padilla"/>
    <x v="5"/>
  </r>
  <r>
    <s v="TCK-0045"/>
    <d v="2025-11-08T13:22:24"/>
    <x v="2"/>
    <s v="Data"/>
    <x v="0"/>
    <x v="0"/>
    <n v="8"/>
    <d v="2025-11-08T15:37:11"/>
    <n v="2.2463642737129703"/>
    <x v="2"/>
    <s v="P. Osei"/>
    <x v="2"/>
  </r>
  <r>
    <s v="TCK-0046"/>
    <d v="2025-03-28T09:13:57"/>
    <x v="0"/>
    <s v="Change"/>
    <x v="2"/>
    <x v="2"/>
    <n v="24"/>
    <d v="2025-03-28T18:14:13"/>
    <n v="9.0043760337866843"/>
    <x v="2"/>
    <s v="M. Choudhury"/>
    <x v="0"/>
  </r>
  <r>
    <s v="TCK-0047"/>
    <d v="2025-06-04T17:58:19"/>
    <x v="3"/>
    <s v="Bug"/>
    <x v="1"/>
    <x v="0"/>
    <n v="72"/>
    <d v="2025-06-07T14:18:53"/>
    <n v="68.342894406931009"/>
    <x v="2"/>
    <s v="K. Padilla"/>
    <x v="11"/>
  </r>
  <r>
    <s v="TCK-0048"/>
    <d v="2025-05-09T14:32:25"/>
    <x v="0"/>
    <s v="Change"/>
    <x v="0"/>
    <x v="1"/>
    <n v="24"/>
    <m/>
    <s v=""/>
    <x v="1"/>
    <s v="T. Alvarez"/>
    <x v="8"/>
  </r>
  <r>
    <s v="TCK-0049"/>
    <d v="2025-01-15T20:34:58"/>
    <x v="3"/>
    <s v="Data"/>
    <x v="1"/>
    <x v="0"/>
    <n v="72"/>
    <d v="2025-01-18T00:57:58"/>
    <n v="52.383377261285204"/>
    <x v="2"/>
    <s v="J. Ncube"/>
    <x v="6"/>
  </r>
  <r>
    <s v="TCK-0050"/>
    <d v="2025-03-15T19:39:45"/>
    <x v="0"/>
    <s v="Hardware"/>
    <x v="1"/>
    <x v="2"/>
    <n v="24"/>
    <d v="2025-03-15T20:54:01"/>
    <n v="1.2377493297681212"/>
    <x v="2"/>
    <s v="N. Kowalski"/>
    <x v="0"/>
  </r>
  <r>
    <s v="TCK-0051"/>
    <d v="2025-05-22T10:47:24"/>
    <x v="0"/>
    <s v="Network"/>
    <x v="2"/>
    <x v="0"/>
    <n v="24"/>
    <d v="2025-05-23T08:32:30"/>
    <n v="21.751605510944501"/>
    <x v="2"/>
    <s v="K. Padilla"/>
    <x v="8"/>
  </r>
  <r>
    <s v="TCK-0052"/>
    <d v="2025-07-16T22:43:27"/>
    <x v="0"/>
    <s v="Access"/>
    <x v="0"/>
    <x v="0"/>
    <n v="24"/>
    <d v="2025-07-17T08:54:21"/>
    <n v="10.181576639239211"/>
    <x v="2"/>
    <s v="J. Ncube"/>
    <x v="7"/>
  </r>
  <r>
    <s v="TCK-0053"/>
    <d v="2025-09-21T01:03:38"/>
    <x v="2"/>
    <s v="Change"/>
    <x v="0"/>
    <x v="0"/>
    <n v="8"/>
    <d v="2025-09-21T17:25:41"/>
    <n v="16.367473568127025"/>
    <x v="0"/>
    <s v="P. Osei"/>
    <x v="9"/>
  </r>
  <r>
    <s v="TCK-0054"/>
    <d v="2025-11-02T03:48:11"/>
    <x v="3"/>
    <s v="Data"/>
    <x v="1"/>
    <x v="0"/>
    <n v="72"/>
    <d v="2025-11-03T14:32:19"/>
    <n v="34.735609218827449"/>
    <x v="2"/>
    <s v="P. Osei"/>
    <x v="2"/>
  </r>
  <r>
    <s v="TCK-0055"/>
    <d v="2025-09-13T20:56:02"/>
    <x v="2"/>
    <s v="Change"/>
    <x v="0"/>
    <x v="0"/>
    <n v="8"/>
    <d v="2025-09-14T02:02:35"/>
    <n v="5.1090799669618718"/>
    <x v="2"/>
    <s v="S. Iyer"/>
    <x v="9"/>
  </r>
  <r>
    <s v="TCK-0056"/>
    <d v="2025-11-10T05:42:39"/>
    <x v="3"/>
    <s v="Bug"/>
    <x v="0"/>
    <x v="0"/>
    <n v="72"/>
    <d v="2025-11-14T16:09:40"/>
    <n v="106.45016055396991"/>
    <x v="0"/>
    <s v="K. Padilla"/>
    <x v="2"/>
  </r>
  <r>
    <s v="TCK-0057"/>
    <d v="2025-03-17T12:16:03"/>
    <x v="3"/>
    <s v="Access"/>
    <x v="1"/>
    <x v="0"/>
    <n v="72"/>
    <d v="2025-03-18T18:37:42"/>
    <n v="30.360755698406138"/>
    <x v="2"/>
    <s v="N. Kowalski"/>
    <x v="0"/>
  </r>
  <r>
    <s v="TCK-0058"/>
    <d v="2025-03-10T07:22:57"/>
    <x v="0"/>
    <s v="Access"/>
    <x v="0"/>
    <x v="3"/>
    <n v="24"/>
    <m/>
    <s v=""/>
    <x v="1"/>
    <s v="K. Padilla"/>
    <x v="0"/>
  </r>
  <r>
    <s v="TCK-0059"/>
    <d v="2025-06-27T06:31:57"/>
    <x v="1"/>
    <s v="Bug"/>
    <x v="2"/>
    <x v="0"/>
    <n v="4"/>
    <d v="2025-06-27T08:42:30"/>
    <n v="2.1758106153574772"/>
    <x v="2"/>
    <s v="R. Fernandes"/>
    <x v="11"/>
  </r>
  <r>
    <s v="TCK-0060"/>
    <d v="2025-06-15T17:30:43"/>
    <x v="0"/>
    <s v="Change"/>
    <x v="0"/>
    <x v="3"/>
    <n v="24"/>
    <m/>
    <s v=""/>
    <x v="1"/>
    <s v="T. Alvarez"/>
    <x v="11"/>
  </r>
  <r>
    <s v="TCK-0061"/>
    <d v="2025-04-11T15:50:25"/>
    <x v="3"/>
    <s v="Network"/>
    <x v="0"/>
    <x v="2"/>
    <n v="72"/>
    <d v="2025-04-12T14:00:33"/>
    <n v="22.16876820550533"/>
    <x v="2"/>
    <s v="M. Choudhury"/>
    <x v="1"/>
  </r>
  <r>
    <s v="TCK-0062"/>
    <d v="2025-10-05T02:43:12"/>
    <x v="0"/>
    <s v="Bug"/>
    <x v="1"/>
    <x v="0"/>
    <n v="24"/>
    <d v="2025-10-05T11:03:21"/>
    <n v="8.3359175674268045"/>
    <x v="2"/>
    <s v="R. Fernandes"/>
    <x v="3"/>
  </r>
  <r>
    <s v="TCK-0063"/>
    <d v="2025-10-02T08:18:13"/>
    <x v="2"/>
    <s v="Bug"/>
    <x v="1"/>
    <x v="0"/>
    <n v="8"/>
    <d v="2025-10-02T11:09:55"/>
    <n v="2.8617575496900827"/>
    <x v="2"/>
    <s v="S. Iyer"/>
    <x v="3"/>
  </r>
  <r>
    <s v="TCK-0064"/>
    <d v="2025-09-28T02:44:38"/>
    <x v="1"/>
    <s v="Change"/>
    <x v="1"/>
    <x v="0"/>
    <n v="4"/>
    <d v="2025-09-28T05:05:08"/>
    <n v="2.3415680901962332"/>
    <x v="2"/>
    <s v="N. Kowalski"/>
    <x v="9"/>
  </r>
  <r>
    <s v="TCK-0065"/>
    <d v="2025-07-29T00:34:45"/>
    <x v="3"/>
    <s v="Data"/>
    <x v="0"/>
    <x v="0"/>
    <n v="72"/>
    <d v="2025-07-30T20:34:23"/>
    <n v="43.993793355475646"/>
    <x v="2"/>
    <s v="P. Osei"/>
    <x v="7"/>
  </r>
  <r>
    <s v="TCK-0066"/>
    <d v="2025-05-11T12:57:15"/>
    <x v="2"/>
    <s v="Change"/>
    <x v="1"/>
    <x v="2"/>
    <n v="8"/>
    <d v="2025-05-11T18:44:31"/>
    <n v="5.7879094494273886"/>
    <x v="2"/>
    <s v="P. Osei"/>
    <x v="8"/>
  </r>
  <r>
    <s v="TCK-0067"/>
    <d v="2025-08-18T20:50:25"/>
    <x v="3"/>
    <s v="Hardware"/>
    <x v="1"/>
    <x v="0"/>
    <n v="72"/>
    <d v="2025-08-25T09:25:36"/>
    <n v="156.58645564917242"/>
    <x v="0"/>
    <s v="P. Osei"/>
    <x v="10"/>
  </r>
  <r>
    <s v="TCK-0068"/>
    <d v="2025-03-24T04:49:00"/>
    <x v="0"/>
    <s v="Access"/>
    <x v="1"/>
    <x v="0"/>
    <n v="24"/>
    <d v="2025-03-25T01:39:01"/>
    <n v="20.833564487518743"/>
    <x v="2"/>
    <s v="L. Duarte"/>
    <x v="0"/>
  </r>
  <r>
    <s v="TCK-0069"/>
    <d v="2025-07-02T15:34:38"/>
    <x v="3"/>
    <s v="Change"/>
    <x v="1"/>
    <x v="0"/>
    <n v="72"/>
    <d v="2025-07-05T14:07:52"/>
    <n v="70.553828197123948"/>
    <x v="2"/>
    <s v="R. Fernandes"/>
    <x v="7"/>
  </r>
  <r>
    <s v="TCK-0070"/>
    <d v="2025-04-07T00:50:50"/>
    <x v="0"/>
    <s v="Network"/>
    <x v="1"/>
    <x v="0"/>
    <n v="24"/>
    <d v="2025-04-08T08:26:50"/>
    <n v="31.60005852294853"/>
    <x v="0"/>
    <s v="A. Mehta"/>
    <x v="1"/>
  </r>
  <r>
    <s v="TCK-0071"/>
    <d v="2025-09-29T15:29:09"/>
    <x v="0"/>
    <s v="Hardware"/>
    <x v="2"/>
    <x v="2"/>
    <n v="24"/>
    <d v="2025-09-30T06:12:34"/>
    <n v="14.723524897999596"/>
    <x v="2"/>
    <s v="M. Choudhury"/>
    <x v="9"/>
  </r>
  <r>
    <s v="TCK-0072"/>
    <d v="2025-08-13T17:43:57"/>
    <x v="0"/>
    <s v="Bug"/>
    <x v="2"/>
    <x v="2"/>
    <n v="24"/>
    <d v="2025-08-14T10:03:03"/>
    <n v="16.318391442415304"/>
    <x v="2"/>
    <s v="R. Fernandes"/>
    <x v="10"/>
  </r>
  <r>
    <s v="TCK-0073"/>
    <d v="2025-09-26T04:59:34"/>
    <x v="0"/>
    <s v="Network"/>
    <x v="1"/>
    <x v="1"/>
    <n v="24"/>
    <m/>
    <s v=""/>
    <x v="1"/>
    <s v="N. Kowalski"/>
    <x v="9"/>
  </r>
  <r>
    <s v="TCK-0074"/>
    <d v="2025-11-09T20:03:53"/>
    <x v="2"/>
    <s v="Data"/>
    <x v="0"/>
    <x v="0"/>
    <n v="8"/>
    <d v="2025-11-10T02:17:15"/>
    <n v="6.2228069768752903"/>
    <x v="2"/>
    <s v="N. Kowalski"/>
    <x v="2"/>
  </r>
  <r>
    <s v="TCK-0075"/>
    <d v="2025-01-05T21:55:35"/>
    <x v="0"/>
    <s v="Data"/>
    <x v="1"/>
    <x v="3"/>
    <n v="24"/>
    <m/>
    <s v=""/>
    <x v="1"/>
    <s v="L. Duarte"/>
    <x v="6"/>
  </r>
  <r>
    <s v="TCK-0076"/>
    <d v="2025-10-02T16:35:39"/>
    <x v="2"/>
    <s v="Data"/>
    <x v="0"/>
    <x v="2"/>
    <n v="8"/>
    <d v="2025-10-03T08:17:55"/>
    <n v="15.704454457154498"/>
    <x v="0"/>
    <s v="M. Choudhury"/>
    <x v="3"/>
  </r>
  <r>
    <s v="TCK-0077"/>
    <d v="2025-06-19T03:50:54"/>
    <x v="0"/>
    <s v="Hardware"/>
    <x v="0"/>
    <x v="3"/>
    <n v="24"/>
    <m/>
    <s v=""/>
    <x v="1"/>
    <s v="M. Choudhury"/>
    <x v="11"/>
  </r>
  <r>
    <s v="TCK-0078"/>
    <d v="2025-04-19T07:47:58"/>
    <x v="0"/>
    <s v="Bug"/>
    <x v="0"/>
    <x v="1"/>
    <n v="24"/>
    <m/>
    <s v=""/>
    <x v="1"/>
    <s v="R. Fernandes"/>
    <x v="1"/>
  </r>
  <r>
    <s v="TCK-0079"/>
    <d v="2025-05-11T15:26:37"/>
    <x v="3"/>
    <s v="Hardware"/>
    <x v="0"/>
    <x v="0"/>
    <n v="72"/>
    <d v="2025-05-12T07:13:11"/>
    <n v="15.775996835203841"/>
    <x v="2"/>
    <s v="P. Osei"/>
    <x v="8"/>
  </r>
  <r>
    <s v="TCK-0080"/>
    <d v="2025-09-30T07:30:22"/>
    <x v="3"/>
    <s v="Data"/>
    <x v="1"/>
    <x v="1"/>
    <n v="72"/>
    <m/>
    <s v=""/>
    <x v="1"/>
    <s v="N. Kowalski"/>
    <x v="9"/>
  </r>
  <r>
    <s v="TCK-0081"/>
    <d v="2025-07-09T17:52:32"/>
    <x v="0"/>
    <s v="Bug"/>
    <x v="1"/>
    <x v="2"/>
    <n v="24"/>
    <d v="2025-07-10T05:42:07"/>
    <n v="11.82639823271893"/>
    <x v="2"/>
    <s v="P. Osei"/>
    <x v="7"/>
  </r>
  <r>
    <s v="TCK-0082"/>
    <d v="2025-06-07T01:17:30"/>
    <x v="0"/>
    <s v="Access"/>
    <x v="1"/>
    <x v="0"/>
    <n v="24"/>
    <d v="2025-06-07T15:28:19"/>
    <n v="14.180320664600004"/>
    <x v="2"/>
    <s v="K. Padilla"/>
    <x v="11"/>
  </r>
  <r>
    <s v="TCK-0083"/>
    <d v="2025-05-09T11:11:54"/>
    <x v="0"/>
    <s v="Change"/>
    <x v="2"/>
    <x v="0"/>
    <n v="24"/>
    <d v="2025-05-09T19:14:32"/>
    <n v="8.0438251670566387"/>
    <x v="2"/>
    <s v="T. Alvarez"/>
    <x v="8"/>
  </r>
  <r>
    <s v="TCK-0084"/>
    <d v="2025-10-24T00:07:19"/>
    <x v="0"/>
    <s v="Data"/>
    <x v="1"/>
    <x v="0"/>
    <n v="24"/>
    <d v="2025-10-24T17:48:27"/>
    <n v="17.685655866167508"/>
    <x v="2"/>
    <s v="T. Alvarez"/>
    <x v="3"/>
  </r>
  <r>
    <s v="TCK-0085"/>
    <d v="2025-11-20T08:39:31"/>
    <x v="0"/>
    <s v="Hardware"/>
    <x v="0"/>
    <x v="0"/>
    <n v="24"/>
    <d v="2025-11-20T13:51:49"/>
    <n v="5.205135255062487"/>
    <x v="2"/>
    <s v="R. Fernandes"/>
    <x v="2"/>
  </r>
  <r>
    <s v="TCK-0086"/>
    <d v="2025-08-03T21:40:45"/>
    <x v="0"/>
    <s v="Data"/>
    <x v="1"/>
    <x v="2"/>
    <n v="24"/>
    <d v="2025-08-04T13:06:59"/>
    <n v="15.437250701885205"/>
    <x v="2"/>
    <s v="A. Mehta"/>
    <x v="10"/>
  </r>
  <r>
    <s v="TCK-0087"/>
    <d v="2025-07-05T21:56:23"/>
    <x v="2"/>
    <s v="Access"/>
    <x v="0"/>
    <x v="2"/>
    <n v="8"/>
    <d v="2025-07-06T07:03:32"/>
    <n v="9.119274040509481"/>
    <x v="0"/>
    <s v="M. Choudhury"/>
    <x v="7"/>
  </r>
  <r>
    <s v="TCK-0088"/>
    <d v="2025-08-13T02:13:37"/>
    <x v="0"/>
    <s v="Access"/>
    <x v="1"/>
    <x v="0"/>
    <n v="24"/>
    <d v="2025-08-14T09:41:36"/>
    <n v="31.466298547689803"/>
    <x v="0"/>
    <s v="R. Fernandes"/>
    <x v="10"/>
  </r>
  <r>
    <s v="TCK-0089"/>
    <d v="2025-08-24T11:17:24"/>
    <x v="0"/>
    <s v="Bug"/>
    <x v="1"/>
    <x v="0"/>
    <n v="24"/>
    <d v="2025-08-25T05:48:13"/>
    <n v="18.513479806249961"/>
    <x v="2"/>
    <s v="P. Osei"/>
    <x v="10"/>
  </r>
  <r>
    <s v="TCK-0090"/>
    <d v="2025-04-29T14:21:00"/>
    <x v="3"/>
    <s v="Data"/>
    <x v="0"/>
    <x v="0"/>
    <n v="72"/>
    <d v="2025-05-07T18:55:25"/>
    <n v="196.57370595645625"/>
    <x v="0"/>
    <s v="P. Osei"/>
    <x v="1"/>
  </r>
  <r>
    <s v="TCK-0091"/>
    <d v="2025-03-02T23:52:41"/>
    <x v="3"/>
    <s v="Network"/>
    <x v="1"/>
    <x v="0"/>
    <n v="72"/>
    <d v="2025-03-03T13:57:34"/>
    <n v="14.081423930008896"/>
    <x v="2"/>
    <s v="R. Fernandes"/>
    <x v="0"/>
  </r>
  <r>
    <s v="TCK-0092"/>
    <d v="2025-04-22T21:19:55"/>
    <x v="0"/>
    <s v="Change"/>
    <x v="1"/>
    <x v="2"/>
    <n v="24"/>
    <d v="2025-04-23T08:39:57"/>
    <n v="11.333979205170181"/>
    <x v="2"/>
    <s v="K. Padilla"/>
    <x v="1"/>
  </r>
  <r>
    <s v="TCK-0093"/>
    <d v="2025-06-15T02:34:56"/>
    <x v="3"/>
    <s v="Network"/>
    <x v="0"/>
    <x v="0"/>
    <n v="72"/>
    <d v="2025-06-15T16:09:31"/>
    <n v="13.576330296287779"/>
    <x v="2"/>
    <s v="K. Padilla"/>
    <x v="11"/>
  </r>
  <r>
    <s v="TCK-0094"/>
    <d v="2025-08-20T02:12:44"/>
    <x v="2"/>
    <s v="Access"/>
    <x v="1"/>
    <x v="0"/>
    <n v="8"/>
    <d v="2025-08-20T04:45:34"/>
    <n v="2.5472627768176608"/>
    <x v="2"/>
    <s v="J. Ncube"/>
    <x v="10"/>
  </r>
  <r>
    <s v="TCK-0095"/>
    <d v="2025-07-14T08:44:19"/>
    <x v="0"/>
    <s v="Network"/>
    <x v="1"/>
    <x v="2"/>
    <n v="24"/>
    <d v="2025-07-14T23:17:12"/>
    <n v="14.548178296652623"/>
    <x v="2"/>
    <s v="J. Ncube"/>
    <x v="7"/>
  </r>
  <r>
    <s v="TCK-0096"/>
    <d v="2025-03-30T21:43:48"/>
    <x v="0"/>
    <s v="Hardware"/>
    <x v="1"/>
    <x v="1"/>
    <n v="24"/>
    <m/>
    <s v=""/>
    <x v="1"/>
    <s v="R. Fernandes"/>
    <x v="0"/>
  </r>
  <r>
    <s v="TCK-0097"/>
    <d v="2025-01-16T14:59:10"/>
    <x v="3"/>
    <s v="Network"/>
    <x v="0"/>
    <x v="0"/>
    <n v="72"/>
    <d v="2025-01-18T05:20:09"/>
    <n v="38.349818792485166"/>
    <x v="2"/>
    <s v="N. Kowalski"/>
    <x v="6"/>
  </r>
  <r>
    <s v="TCK-0098"/>
    <d v="2025-02-05T10:26:27"/>
    <x v="2"/>
    <s v="Hardware"/>
    <x v="1"/>
    <x v="0"/>
    <n v="8"/>
    <d v="2025-02-05T13:13:46"/>
    <n v="2.7886734244530089"/>
    <x v="2"/>
    <s v="M. Choudhury"/>
    <x v="4"/>
  </r>
  <r>
    <s v="TCK-0099"/>
    <d v="2025-09-15T07:43:34"/>
    <x v="2"/>
    <s v="Change"/>
    <x v="0"/>
    <x v="1"/>
    <n v="8"/>
    <m/>
    <s v=""/>
    <x v="1"/>
    <s v="J. Ncube"/>
    <x v="9"/>
  </r>
  <r>
    <s v="TCK-0100"/>
    <d v="2025-10-28T00:40:06"/>
    <x v="0"/>
    <s v="Data"/>
    <x v="1"/>
    <x v="2"/>
    <n v="24"/>
    <d v="2025-10-28T23:55:23"/>
    <n v="23.254820873960853"/>
    <x v="2"/>
    <s v="R. Fernandes"/>
    <x v="3"/>
  </r>
  <r>
    <s v="TCK-0101"/>
    <d v="2025-05-21T12:01:40"/>
    <x v="0"/>
    <s v="Change"/>
    <x v="1"/>
    <x v="0"/>
    <n v="24"/>
    <d v="2025-05-21T23:05:39"/>
    <n v="11.066354131791741"/>
    <x v="2"/>
    <s v="T. Alvarez"/>
    <x v="8"/>
  </r>
  <r>
    <s v="TCK-0102"/>
    <d v="2025-12-09T02:05:07"/>
    <x v="2"/>
    <s v="Bug"/>
    <x v="2"/>
    <x v="0"/>
    <n v="8"/>
    <d v="2025-12-10T00:06:34"/>
    <n v="22.024055421352386"/>
    <x v="0"/>
    <s v="M. Choudhury"/>
    <x v="5"/>
  </r>
  <r>
    <s v="TCK-0103"/>
    <d v="2025-08-03T11:21:22"/>
    <x v="2"/>
    <s v="Bug"/>
    <x v="1"/>
    <x v="0"/>
    <n v="8"/>
    <d v="2025-08-03T18:00:58"/>
    <n v="6.6600582710816525"/>
    <x v="2"/>
    <s v="A. Mehta"/>
    <x v="10"/>
  </r>
  <r>
    <s v="TCK-0104"/>
    <d v="2025-12-29T04:57:23"/>
    <x v="3"/>
    <s v="Network"/>
    <x v="0"/>
    <x v="0"/>
    <n v="72"/>
    <d v="2025-12-30T00:27:16"/>
    <n v="19.497984561079647"/>
    <x v="2"/>
    <s v="M. Choudhury"/>
    <x v="5"/>
  </r>
  <r>
    <s v="TCK-0105"/>
    <d v="2025-07-17T09:08:54"/>
    <x v="0"/>
    <s v="Change"/>
    <x v="1"/>
    <x v="2"/>
    <n v="24"/>
    <d v="2025-07-18T13:16:49"/>
    <n v="28.132023343350738"/>
    <x v="0"/>
    <s v="N. Kowalski"/>
    <x v="7"/>
  </r>
  <r>
    <s v="TCK-0106"/>
    <d v="2025-04-14T18:13:46"/>
    <x v="3"/>
    <s v="Data"/>
    <x v="2"/>
    <x v="3"/>
    <n v="72"/>
    <m/>
    <s v=""/>
    <x v="1"/>
    <s v="T. Alvarez"/>
    <x v="1"/>
  </r>
  <r>
    <s v="TCK-0107"/>
    <d v="2025-12-03T00:48:47"/>
    <x v="0"/>
    <s v="Hardware"/>
    <x v="0"/>
    <x v="0"/>
    <n v="24"/>
    <d v="2025-12-03T09:42:58"/>
    <n v="8.9031663784990087"/>
    <x v="2"/>
    <s v="M. Choudhury"/>
    <x v="5"/>
  </r>
  <r>
    <s v="TCK-0108"/>
    <d v="2025-09-28T21:09:23"/>
    <x v="0"/>
    <s v="Change"/>
    <x v="2"/>
    <x v="0"/>
    <n v="24"/>
    <d v="2025-09-29T17:27:45"/>
    <n v="20.306209623988252"/>
    <x v="2"/>
    <s v="K. Padilla"/>
    <x v="9"/>
  </r>
  <r>
    <s v="TCK-0109"/>
    <d v="2025-05-30T22:30:53"/>
    <x v="0"/>
    <s v="Change"/>
    <x v="0"/>
    <x v="1"/>
    <n v="24"/>
    <m/>
    <s v=""/>
    <x v="1"/>
    <s v="P. Osei"/>
    <x v="8"/>
  </r>
  <r>
    <s v="TCK-0110"/>
    <d v="2025-05-09T22:24:53"/>
    <x v="0"/>
    <s v="Access"/>
    <x v="1"/>
    <x v="3"/>
    <n v="24"/>
    <m/>
    <s v=""/>
    <x v="1"/>
    <s v="N. Kowalski"/>
    <x v="8"/>
  </r>
  <r>
    <s v="TCK-0111"/>
    <d v="2025-06-09T05:16:39"/>
    <x v="2"/>
    <s v="Change"/>
    <x v="1"/>
    <x v="1"/>
    <n v="8"/>
    <m/>
    <s v=""/>
    <x v="1"/>
    <s v="S. Iyer"/>
    <x v="11"/>
  </r>
  <r>
    <s v="TCK-0112"/>
    <d v="2025-09-10T08:54:59"/>
    <x v="1"/>
    <s v="Data"/>
    <x v="1"/>
    <x v="0"/>
    <n v="4"/>
    <d v="2025-09-10T11:37:30"/>
    <n v="2.7086098819272593"/>
    <x v="2"/>
    <s v="P. Osei"/>
    <x v="9"/>
  </r>
  <r>
    <s v="TCK-0113"/>
    <d v="2025-12-05T19:11:56"/>
    <x v="3"/>
    <s v="Network"/>
    <x v="0"/>
    <x v="2"/>
    <n v="72"/>
    <d v="2025-12-06T14:31:09"/>
    <n v="19.320215478132013"/>
    <x v="2"/>
    <s v="M. Choudhury"/>
    <x v="5"/>
  </r>
  <r>
    <s v="TCK-0114"/>
    <d v="2025-02-08T05:33:23"/>
    <x v="2"/>
    <s v="Bug"/>
    <x v="0"/>
    <x v="0"/>
    <n v="8"/>
    <d v="2025-02-08T06:42:15"/>
    <n v="1.1477738680550829"/>
    <x v="2"/>
    <s v="P. Osei"/>
    <x v="4"/>
  </r>
  <r>
    <s v="TCK-0115"/>
    <d v="2025-04-24T22:23:09"/>
    <x v="2"/>
    <s v="Access"/>
    <x v="1"/>
    <x v="0"/>
    <n v="8"/>
    <d v="2025-04-25T00:36:10"/>
    <n v="2.2168288954999298"/>
    <x v="2"/>
    <s v="A. Mehta"/>
    <x v="1"/>
  </r>
  <r>
    <s v="TCK-0116"/>
    <d v="2025-08-25T16:52:30"/>
    <x v="0"/>
    <s v="Bug"/>
    <x v="1"/>
    <x v="1"/>
    <n v="24"/>
    <m/>
    <s v=""/>
    <x v="1"/>
    <s v="R. Fernandes"/>
    <x v="10"/>
  </r>
  <r>
    <s v="TCK-0117"/>
    <d v="2025-09-05T17:42:07"/>
    <x v="0"/>
    <s v="Hardware"/>
    <x v="1"/>
    <x v="2"/>
    <n v="24"/>
    <d v="2025-09-05T19:06:42"/>
    <n v="1.4097506700782105"/>
    <x v="2"/>
    <s v="M. Choudhury"/>
    <x v="9"/>
  </r>
  <r>
    <s v="TCK-0118"/>
    <d v="2025-06-21T13:13:11"/>
    <x v="3"/>
    <s v="Network"/>
    <x v="1"/>
    <x v="3"/>
    <n v="72"/>
    <m/>
    <s v=""/>
    <x v="1"/>
    <s v="R. Fernandes"/>
    <x v="11"/>
  </r>
  <r>
    <s v="TCK-0119"/>
    <d v="2025-11-25T06:48:13"/>
    <x v="0"/>
    <s v="Change"/>
    <x v="0"/>
    <x v="0"/>
    <n v="24"/>
    <d v="2025-11-26T03:03:00"/>
    <n v="20.246447437559254"/>
    <x v="2"/>
    <s v="M. Choudhury"/>
    <x v="2"/>
  </r>
  <r>
    <s v="TCK-0120"/>
    <d v="2025-01-09T12:29:30"/>
    <x v="0"/>
    <s v="Data"/>
    <x v="0"/>
    <x v="3"/>
    <n v="24"/>
    <m/>
    <s v=""/>
    <x v="1"/>
    <s v="J. Ncube"/>
    <x v="6"/>
  </r>
  <r>
    <s v="TCK-0121"/>
    <d v="2025-12-20T15:33:54"/>
    <x v="2"/>
    <s v="Hardware"/>
    <x v="0"/>
    <x v="0"/>
    <n v="8"/>
    <d v="2025-12-20T22:41:31"/>
    <n v="7.1269153642351739"/>
    <x v="2"/>
    <s v="A. Mehta"/>
    <x v="5"/>
  </r>
  <r>
    <s v="TCK-0122"/>
    <d v="2025-09-05T05:42:31"/>
    <x v="3"/>
    <s v="Hardware"/>
    <x v="0"/>
    <x v="2"/>
    <n v="72"/>
    <d v="2025-09-07T11:54:07"/>
    <n v="54.193457597633824"/>
    <x v="2"/>
    <s v="K. Padilla"/>
    <x v="9"/>
  </r>
  <r>
    <s v="TCK-0123"/>
    <d v="2025-04-30T23:27:47"/>
    <x v="0"/>
    <s v="Bug"/>
    <x v="0"/>
    <x v="1"/>
    <n v="24"/>
    <m/>
    <s v=""/>
    <x v="1"/>
    <s v="A. Mehta"/>
    <x v="1"/>
  </r>
  <r>
    <s v="TCK-0124"/>
    <d v="2025-05-07T21:14:34"/>
    <x v="0"/>
    <s v="Network"/>
    <x v="1"/>
    <x v="0"/>
    <n v="24"/>
    <d v="2025-05-09T03:59:37"/>
    <n v="30.750711505359504"/>
    <x v="0"/>
    <s v="J. Ncube"/>
    <x v="8"/>
  </r>
  <r>
    <s v="TCK-0125"/>
    <d v="2025-11-19T12:33:57"/>
    <x v="3"/>
    <s v="Hardware"/>
    <x v="1"/>
    <x v="2"/>
    <n v="72"/>
    <d v="2025-11-22T07:23:19"/>
    <n v="66.82281616574619"/>
    <x v="2"/>
    <s v="J. Ncube"/>
    <x v="2"/>
  </r>
  <r>
    <s v="TCK-0126"/>
    <d v="2025-01-30T05:50:27"/>
    <x v="2"/>
    <s v="Data"/>
    <x v="0"/>
    <x v="2"/>
    <n v="8"/>
    <d v="2025-01-30T12:38:25"/>
    <n v="6.7994460407062434"/>
    <x v="2"/>
    <s v="M. Choudhury"/>
    <x v="6"/>
  </r>
  <r>
    <s v="TCK-0127"/>
    <d v="2025-01-06T09:43:52"/>
    <x v="3"/>
    <s v="Hardware"/>
    <x v="1"/>
    <x v="2"/>
    <n v="72"/>
    <d v="2025-01-11T11:46:22"/>
    <n v="122.04179298580857"/>
    <x v="0"/>
    <s v="P. Osei"/>
    <x v="6"/>
  </r>
  <r>
    <s v="TCK-0128"/>
    <d v="2025-02-12T01:51:31"/>
    <x v="2"/>
    <s v="Change"/>
    <x v="0"/>
    <x v="2"/>
    <n v="8"/>
    <d v="2025-02-12T06:52:05"/>
    <n v="5.0094286908279173"/>
    <x v="2"/>
    <s v="L. Duarte"/>
    <x v="4"/>
  </r>
  <r>
    <s v="TCK-0129"/>
    <d v="2025-09-04T18:23:37"/>
    <x v="0"/>
    <s v="Hardware"/>
    <x v="1"/>
    <x v="3"/>
    <n v="24"/>
    <m/>
    <s v=""/>
    <x v="1"/>
    <s v="R. Fernandes"/>
    <x v="9"/>
  </r>
  <r>
    <s v="TCK-0130"/>
    <d v="2025-04-29T04:53:00"/>
    <x v="0"/>
    <s v="Access"/>
    <x v="1"/>
    <x v="1"/>
    <n v="24"/>
    <m/>
    <s v=""/>
    <x v="1"/>
    <s v="A. Mehta"/>
    <x v="1"/>
  </r>
  <r>
    <s v="TCK-0131"/>
    <d v="2025-05-25T02:04:40"/>
    <x v="2"/>
    <s v="Hardware"/>
    <x v="1"/>
    <x v="0"/>
    <n v="8"/>
    <d v="2025-05-25T09:30:57"/>
    <n v="7.438047198287677"/>
    <x v="2"/>
    <s v="M. Choudhury"/>
    <x v="8"/>
  </r>
  <r>
    <s v="TCK-0132"/>
    <d v="2025-11-20T18:34:57"/>
    <x v="0"/>
    <s v="Bug"/>
    <x v="2"/>
    <x v="0"/>
    <n v="24"/>
    <d v="2025-11-21T17:01:14"/>
    <n v="22.437960446288344"/>
    <x v="2"/>
    <s v="R. Fernandes"/>
    <x v="2"/>
  </r>
  <r>
    <s v="TCK-0133"/>
    <d v="2025-11-29T05:22:25"/>
    <x v="0"/>
    <s v="Change"/>
    <x v="1"/>
    <x v="2"/>
    <n v="24"/>
    <d v="2025-11-29T14:46:21"/>
    <n v="9.3989162736106664"/>
    <x v="2"/>
    <s v="K. Padilla"/>
    <x v="2"/>
  </r>
  <r>
    <s v="TCK-0134"/>
    <d v="2025-02-17T10:36:39"/>
    <x v="0"/>
    <s v="Access"/>
    <x v="1"/>
    <x v="3"/>
    <n v="24"/>
    <m/>
    <s v=""/>
    <x v="1"/>
    <s v="K. Padilla"/>
    <x v="4"/>
  </r>
  <r>
    <s v="TCK-0135"/>
    <d v="2025-01-09T07:03:57"/>
    <x v="2"/>
    <s v="Bug"/>
    <x v="0"/>
    <x v="2"/>
    <n v="8"/>
    <d v="2025-01-09T14:49:22"/>
    <n v="7.7568275252706371"/>
    <x v="2"/>
    <s v="N. Kowalski"/>
    <x v="6"/>
  </r>
  <r>
    <s v="TCK-0136"/>
    <d v="2025-11-12T18:12:10"/>
    <x v="2"/>
    <s v="Hardware"/>
    <x v="1"/>
    <x v="3"/>
    <n v="8"/>
    <m/>
    <s v=""/>
    <x v="1"/>
    <s v="K. Padilla"/>
    <x v="2"/>
  </r>
  <r>
    <s v="TCK-0137"/>
    <d v="2025-02-20T11:36:52"/>
    <x v="3"/>
    <s v="Hardware"/>
    <x v="1"/>
    <x v="2"/>
    <n v="72"/>
    <d v="2025-02-20T22:34:30"/>
    <n v="10.960668254876509"/>
    <x v="2"/>
    <s v="S. Iyer"/>
    <x v="4"/>
  </r>
  <r>
    <s v="TCK-0138"/>
    <d v="2025-08-17T16:30:25"/>
    <x v="2"/>
    <s v="Data"/>
    <x v="0"/>
    <x v="2"/>
    <n v="8"/>
    <d v="2025-08-18T01:38:26"/>
    <n v="9.1335862500127405"/>
    <x v="0"/>
    <s v="K. Padilla"/>
    <x v="10"/>
  </r>
  <r>
    <s v="TCK-0139"/>
    <d v="2025-10-30T03:38:39"/>
    <x v="0"/>
    <s v="Network"/>
    <x v="1"/>
    <x v="0"/>
    <n v="24"/>
    <d v="2025-10-30T14:55:59"/>
    <n v="11.288760972500313"/>
    <x v="2"/>
    <s v="M. Choudhury"/>
    <x v="3"/>
  </r>
  <r>
    <s v="TCK-0140"/>
    <d v="2025-04-28T03:23:54"/>
    <x v="0"/>
    <s v="Network"/>
    <x v="0"/>
    <x v="0"/>
    <n v="24"/>
    <d v="2025-04-28T05:57:21"/>
    <n v="2.5576230953447521"/>
    <x v="2"/>
    <s v="T. Alvarez"/>
    <x v="1"/>
  </r>
  <r>
    <s v="TCK-0141"/>
    <d v="2025-01-29T12:58:59"/>
    <x v="0"/>
    <s v="Network"/>
    <x v="1"/>
    <x v="3"/>
    <n v="24"/>
    <m/>
    <s v=""/>
    <x v="1"/>
    <s v="M. Choudhury"/>
    <x v="6"/>
  </r>
  <r>
    <s v="TCK-0142"/>
    <d v="2025-09-03T20:42:09"/>
    <x v="0"/>
    <s v="Access"/>
    <x v="1"/>
    <x v="0"/>
    <n v="24"/>
    <d v="2025-09-04T06:24:15"/>
    <n v="9.7017861818312667"/>
    <x v="2"/>
    <s v="N. Kowalski"/>
    <x v="9"/>
  </r>
  <r>
    <s v="TCK-0143"/>
    <d v="2025-11-05T00:11:28"/>
    <x v="2"/>
    <s v="Hardware"/>
    <x v="0"/>
    <x v="2"/>
    <n v="8"/>
    <d v="2025-11-05T05:26:02"/>
    <n v="5.2428199866553769"/>
    <x v="2"/>
    <s v="R. Fernandes"/>
    <x v="2"/>
  </r>
  <r>
    <s v="TCK-0144"/>
    <d v="2025-06-10T17:01:19"/>
    <x v="0"/>
    <s v="Bug"/>
    <x v="1"/>
    <x v="0"/>
    <n v="24"/>
    <d v="2025-06-11T03:30:25"/>
    <n v="10.484888993902132"/>
    <x v="2"/>
    <s v="K. Padilla"/>
    <x v="11"/>
  </r>
  <r>
    <s v="TCK-0145"/>
    <d v="2025-09-24T17:38:09"/>
    <x v="0"/>
    <s v="Network"/>
    <x v="1"/>
    <x v="1"/>
    <n v="24"/>
    <m/>
    <s v=""/>
    <x v="1"/>
    <s v="S. Iyer"/>
    <x v="9"/>
  </r>
  <r>
    <s v="TCK-0146"/>
    <d v="2025-10-17T04:04:19"/>
    <x v="2"/>
    <s v="Access"/>
    <x v="1"/>
    <x v="0"/>
    <n v="8"/>
    <d v="2025-10-17T08:36:41"/>
    <n v="4.5393982730456628"/>
    <x v="2"/>
    <s v="R. Fernandes"/>
    <x v="3"/>
  </r>
  <r>
    <s v="TCK-0147"/>
    <d v="2025-05-18T07:46:22"/>
    <x v="0"/>
    <s v="Data"/>
    <x v="0"/>
    <x v="3"/>
    <n v="24"/>
    <m/>
    <s v=""/>
    <x v="1"/>
    <s v="P. Osei"/>
    <x v="8"/>
  </r>
  <r>
    <s v="TCK-0148"/>
    <d v="2025-08-22T04:13:39"/>
    <x v="3"/>
    <s v="Network"/>
    <x v="1"/>
    <x v="0"/>
    <n v="72"/>
    <d v="2025-08-27T23:45:41"/>
    <n v="139.53398091823328"/>
    <x v="0"/>
    <s v="J. Ncube"/>
    <x v="10"/>
  </r>
  <r>
    <s v="TCK-0149"/>
    <d v="2025-05-23T17:55:02"/>
    <x v="0"/>
    <s v="Access"/>
    <x v="1"/>
    <x v="0"/>
    <n v="24"/>
    <d v="2025-05-24T00:09:54"/>
    <n v="6.2478709851857275"/>
    <x v="2"/>
    <s v="T. Alvarez"/>
    <x v="8"/>
  </r>
  <r>
    <s v="TCK-0150"/>
    <d v="2025-01-11T04:42:12"/>
    <x v="0"/>
    <s v="Hardware"/>
    <x v="0"/>
    <x v="0"/>
    <n v="24"/>
    <d v="2025-01-11T21:22:54"/>
    <n v="16.678276913124137"/>
    <x v="2"/>
    <s v="T. Alvarez"/>
    <x v="6"/>
  </r>
  <r>
    <s v="TCK-0151"/>
    <d v="2025-01-03T08:54:36"/>
    <x v="2"/>
    <s v="Data"/>
    <x v="2"/>
    <x v="0"/>
    <n v="8"/>
    <d v="2025-01-04T02:30:46"/>
    <n v="17.602824887784664"/>
    <x v="0"/>
    <s v="L. Duarte"/>
    <x v="6"/>
  </r>
  <r>
    <s v="TCK-0152"/>
    <d v="2025-03-25T13:11:01"/>
    <x v="0"/>
    <s v="Access"/>
    <x v="1"/>
    <x v="0"/>
    <n v="24"/>
    <d v="2025-03-25T17:53:49"/>
    <n v="4.7133750368957408"/>
    <x v="2"/>
    <s v="T. Alvarez"/>
    <x v="0"/>
  </r>
  <r>
    <s v="TCK-0153"/>
    <d v="2025-03-02T10:06:35"/>
    <x v="0"/>
    <s v="Hardware"/>
    <x v="0"/>
    <x v="0"/>
    <n v="24"/>
    <d v="2025-03-03T02:21:10"/>
    <n v="16.242981620889623"/>
    <x v="2"/>
    <s v="A. Mehta"/>
    <x v="0"/>
  </r>
  <r>
    <s v="TCK-0154"/>
    <d v="2025-04-17T02:05:58"/>
    <x v="0"/>
    <s v="Change"/>
    <x v="0"/>
    <x v="0"/>
    <n v="24"/>
    <d v="2025-04-17T11:00:13"/>
    <n v="8.9042581341345794"/>
    <x v="2"/>
    <s v="P. Osei"/>
    <x v="1"/>
  </r>
  <r>
    <s v="TCK-0155"/>
    <d v="2025-01-18T15:19:13"/>
    <x v="0"/>
    <s v="Hardware"/>
    <x v="1"/>
    <x v="0"/>
    <n v="24"/>
    <d v="2025-01-18T17:44:35"/>
    <n v="2.4227333139278926"/>
    <x v="2"/>
    <s v="J. Ncube"/>
    <x v="6"/>
  </r>
  <r>
    <s v="TCK-0156"/>
    <d v="2025-05-08T10:19:19"/>
    <x v="3"/>
    <s v="Bug"/>
    <x v="0"/>
    <x v="0"/>
    <n v="72"/>
    <d v="2025-05-09T18:45:31"/>
    <n v="32.436659560189582"/>
    <x v="2"/>
    <s v="J. Ncube"/>
    <x v="8"/>
  </r>
  <r>
    <s v="TCK-0157"/>
    <d v="2025-01-28T23:47:32"/>
    <x v="0"/>
    <s v="Bug"/>
    <x v="1"/>
    <x v="0"/>
    <n v="24"/>
    <d v="2025-01-29T10:43:43"/>
    <n v="10.936421371938195"/>
    <x v="2"/>
    <s v="L. Duarte"/>
    <x v="6"/>
  </r>
  <r>
    <s v="TCK-0158"/>
    <d v="2025-06-07T01:29:40"/>
    <x v="1"/>
    <s v="Data"/>
    <x v="0"/>
    <x v="0"/>
    <n v="4"/>
    <d v="2025-06-07T02:07:22"/>
    <n v="0.62844494625460356"/>
    <x v="2"/>
    <s v="N. Kowalski"/>
    <x v="11"/>
  </r>
  <r>
    <s v="TCK-0159"/>
    <d v="2025-02-04T05:25:48"/>
    <x v="0"/>
    <s v="Hardware"/>
    <x v="1"/>
    <x v="0"/>
    <n v="24"/>
    <d v="2025-02-06T00:55:42"/>
    <n v="43.49841413134709"/>
    <x v="0"/>
    <s v="L. Duarte"/>
    <x v="4"/>
  </r>
  <r>
    <s v="TCK-0160"/>
    <d v="2025-05-10T08:25:28"/>
    <x v="1"/>
    <s v="Data"/>
    <x v="0"/>
    <x v="0"/>
    <n v="4"/>
    <d v="2025-05-10T17:03:25"/>
    <n v="8.6325726688373834"/>
    <x v="0"/>
    <s v="K. Padilla"/>
    <x v="8"/>
  </r>
  <r>
    <s v="TCK-0161"/>
    <d v="2025-04-02T18:11:07"/>
    <x v="2"/>
    <s v="Data"/>
    <x v="1"/>
    <x v="0"/>
    <n v="8"/>
    <d v="2025-04-02T19:52:34"/>
    <n v="1.6908327269484289"/>
    <x v="2"/>
    <s v="S. Iyer"/>
    <x v="1"/>
  </r>
  <r>
    <s v="TCK-0162"/>
    <d v="2025-06-30T04:21:21"/>
    <x v="3"/>
    <s v="Access"/>
    <x v="1"/>
    <x v="2"/>
    <n v="72"/>
    <d v="2025-07-01T14:00:52"/>
    <n v="33.658696008205879"/>
    <x v="2"/>
    <s v="M. Choudhury"/>
    <x v="11"/>
  </r>
  <r>
    <s v="TCK-0163"/>
    <d v="2025-12-02T15:21:52"/>
    <x v="0"/>
    <s v="Network"/>
    <x v="2"/>
    <x v="3"/>
    <n v="24"/>
    <m/>
    <s v=""/>
    <x v="1"/>
    <s v="L. Duarte"/>
    <x v="5"/>
  </r>
  <r>
    <s v="TCK-0164"/>
    <d v="2025-11-06T06:19:50"/>
    <x v="2"/>
    <s v="Access"/>
    <x v="1"/>
    <x v="0"/>
    <n v="8"/>
    <d v="2025-11-06T21:50:00"/>
    <n v="15.502716394315939"/>
    <x v="0"/>
    <s v="J. Ncube"/>
    <x v="2"/>
  </r>
  <r>
    <s v="TCK-0165"/>
    <d v="2025-01-30T19:11:05"/>
    <x v="0"/>
    <s v="Access"/>
    <x v="1"/>
    <x v="0"/>
    <n v="24"/>
    <d v="2025-01-30T22:24:01"/>
    <n v="3.215417969156988"/>
    <x v="2"/>
    <s v="J. Ncube"/>
    <x v="6"/>
  </r>
  <r>
    <s v="TCK-0166"/>
    <d v="2025-06-24T15:49:18"/>
    <x v="0"/>
    <s v="Hardware"/>
    <x v="0"/>
    <x v="1"/>
    <n v="24"/>
    <m/>
    <s v=""/>
    <x v="1"/>
    <s v="A. Mehta"/>
    <x v="11"/>
  </r>
  <r>
    <s v="TCK-0167"/>
    <d v="2025-06-24T23:10:47"/>
    <x v="0"/>
    <s v="Change"/>
    <x v="1"/>
    <x v="2"/>
    <n v="24"/>
    <d v="2025-06-25T08:02:43"/>
    <n v="8.8655311567126773"/>
    <x v="2"/>
    <s v="A. Mehta"/>
    <x v="11"/>
  </r>
  <r>
    <s v="TCK-0168"/>
    <d v="2025-06-20T15:42:28"/>
    <x v="0"/>
    <s v="Bug"/>
    <x v="1"/>
    <x v="2"/>
    <n v="24"/>
    <d v="2025-06-21T01:01:48"/>
    <n v="9.3222024603746831"/>
    <x v="2"/>
    <s v="M. Choudhury"/>
    <x v="11"/>
  </r>
  <r>
    <s v="TCK-0169"/>
    <d v="2025-11-03T12:07:41"/>
    <x v="0"/>
    <s v="Data"/>
    <x v="0"/>
    <x v="0"/>
    <n v="24"/>
    <d v="2025-11-03T20:41:12"/>
    <n v="8.5586976542836055"/>
    <x v="2"/>
    <s v="A. Mehta"/>
    <x v="2"/>
  </r>
  <r>
    <s v="TCK-0170"/>
    <d v="2025-12-06T03:33:23"/>
    <x v="0"/>
    <s v="Data"/>
    <x v="0"/>
    <x v="2"/>
    <n v="24"/>
    <d v="2025-12-08T08:37:41"/>
    <n v="53.071708452247549"/>
    <x v="0"/>
    <s v="N. Kowalski"/>
    <x v="5"/>
  </r>
  <r>
    <s v="TCK-0171"/>
    <d v="2025-02-20T01:54:59"/>
    <x v="0"/>
    <s v="Network"/>
    <x v="0"/>
    <x v="0"/>
    <n v="24"/>
    <d v="2025-02-20T10:01:35"/>
    <n v="8.1098677272093482"/>
    <x v="2"/>
    <s v="P. Osei"/>
    <x v="4"/>
  </r>
  <r>
    <s v="TCK-0172"/>
    <d v="2025-02-06T07:02:41"/>
    <x v="3"/>
    <s v="Bug"/>
    <x v="0"/>
    <x v="0"/>
    <n v="72"/>
    <d v="2025-02-07T10:52:22"/>
    <n v="27.82800933154067"/>
    <x v="2"/>
    <s v="T. Alvarez"/>
    <x v="4"/>
  </r>
  <r>
    <s v="TCK-0173"/>
    <d v="2025-03-16T13:37:06"/>
    <x v="2"/>
    <s v="Bug"/>
    <x v="1"/>
    <x v="2"/>
    <n v="8"/>
    <d v="2025-03-16T23:05:55"/>
    <n v="9.4803111801738851"/>
    <x v="0"/>
    <s v="M. Choudhury"/>
    <x v="0"/>
  </r>
  <r>
    <s v="TCK-0174"/>
    <d v="2025-01-15T15:49:55"/>
    <x v="2"/>
    <s v="Hardware"/>
    <x v="0"/>
    <x v="0"/>
    <n v="8"/>
    <d v="2025-01-15T20:49:48"/>
    <n v="4.9981541034649126"/>
    <x v="2"/>
    <s v="T. Alvarez"/>
    <x v="6"/>
  </r>
  <r>
    <s v="TCK-0175"/>
    <d v="2025-11-11T04:50:02"/>
    <x v="2"/>
    <s v="Bug"/>
    <x v="0"/>
    <x v="3"/>
    <n v="8"/>
    <m/>
    <s v=""/>
    <x v="1"/>
    <s v="N. Kowalski"/>
    <x v="2"/>
  </r>
  <r>
    <s v="TCK-0176"/>
    <d v="2025-06-22T12:13:55"/>
    <x v="1"/>
    <s v="Data"/>
    <x v="0"/>
    <x v="0"/>
    <n v="4"/>
    <d v="2025-06-22T15:20:52"/>
    <n v="3.115737336978782"/>
    <x v="2"/>
    <s v="K. Padilla"/>
    <x v="11"/>
  </r>
  <r>
    <s v="TCK-0177"/>
    <d v="2025-05-23T20:31:34"/>
    <x v="2"/>
    <s v="Change"/>
    <x v="2"/>
    <x v="2"/>
    <n v="8"/>
    <d v="2025-05-24T00:12:15"/>
    <n v="3.6780446822522208"/>
    <x v="2"/>
    <s v="K. Padilla"/>
    <x v="8"/>
  </r>
  <r>
    <s v="TCK-0178"/>
    <d v="2025-11-14T05:58:41"/>
    <x v="3"/>
    <s v="Hardware"/>
    <x v="1"/>
    <x v="0"/>
    <n v="72"/>
    <d v="2025-11-16T20:02:03"/>
    <n v="62.056208567053545"/>
    <x v="2"/>
    <s v="S. Iyer"/>
    <x v="2"/>
  </r>
  <r>
    <s v="TCK-0179"/>
    <d v="2025-10-04T06:44:15"/>
    <x v="0"/>
    <s v="Data"/>
    <x v="0"/>
    <x v="1"/>
    <n v="24"/>
    <m/>
    <s v=""/>
    <x v="1"/>
    <s v="R. Fernandes"/>
    <x v="3"/>
  </r>
  <r>
    <s v="TCK-0180"/>
    <d v="2025-02-27T05:23:20"/>
    <x v="2"/>
    <s v="Bug"/>
    <x v="1"/>
    <x v="1"/>
    <n v="8"/>
    <m/>
    <s v=""/>
    <x v="1"/>
    <s v="T. Alvarez"/>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A6DBD-184E-4063-ABEE-BA7EF952F1B7}" name="PT_OpenClosedTim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F46:AK60" firstHeaderRow="1" firstDataRow="2" firstDataCol="1"/>
  <pivotFields count="12">
    <pivotField dataField="1" showAll="0"/>
    <pivotField numFmtId="165" showAll="0"/>
    <pivotField showAll="0">
      <items count="5">
        <item x="1"/>
        <item x="2"/>
        <item x="0"/>
        <item x="3"/>
        <item t="default"/>
      </items>
    </pivotField>
    <pivotField showAll="0"/>
    <pivotField showAll="0">
      <items count="4">
        <item x="1"/>
        <item x="0"/>
        <item x="2"/>
        <item t="default"/>
      </items>
    </pivotField>
    <pivotField axis="axisCol" showAll="0">
      <items count="5">
        <item x="0"/>
        <item x="3"/>
        <item x="1"/>
        <item x="2"/>
        <item t="default"/>
      </items>
    </pivotField>
    <pivotField showAll="0"/>
    <pivotField showAll="0"/>
    <pivotField showAll="0"/>
    <pivotField showAll="0"/>
    <pivotField showAll="0"/>
    <pivotField axis="axisRow" numFmtId="167" showAll="0">
      <items count="13">
        <item x="6"/>
        <item x="4"/>
        <item x="0"/>
        <item x="1"/>
        <item x="8"/>
        <item x="11"/>
        <item x="7"/>
        <item x="10"/>
        <item x="9"/>
        <item x="3"/>
        <item x="2"/>
        <item x="5"/>
        <item t="default"/>
      </items>
    </pivotField>
  </pivotFields>
  <rowFields count="1">
    <field x="11"/>
  </rowFields>
  <rowItems count="13">
    <i>
      <x/>
    </i>
    <i>
      <x v="1"/>
    </i>
    <i>
      <x v="2"/>
    </i>
    <i>
      <x v="3"/>
    </i>
    <i>
      <x v="4"/>
    </i>
    <i>
      <x v="5"/>
    </i>
    <i>
      <x v="6"/>
    </i>
    <i>
      <x v="7"/>
    </i>
    <i>
      <x v="8"/>
    </i>
    <i>
      <x v="9"/>
    </i>
    <i>
      <x v="10"/>
    </i>
    <i>
      <x v="11"/>
    </i>
    <i t="grand">
      <x/>
    </i>
  </rowItems>
  <colFields count="1">
    <field x="5"/>
  </colFields>
  <colItems count="5">
    <i>
      <x/>
    </i>
    <i>
      <x v="1"/>
    </i>
    <i>
      <x v="2"/>
    </i>
    <i>
      <x v="3"/>
    </i>
    <i t="grand">
      <x/>
    </i>
  </colItems>
  <dataFields count="1">
    <dataField name="Count of Tickets" fld="0"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3A25D-55F9-4ADB-8F76-54A4F258AED8}" name="PT_BreachByPriorit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46:W51" firstHeaderRow="1" firstDataRow="1" firstDataCol="1" rowPageCount="1" colPageCount="1"/>
  <pivotFields count="12">
    <pivotField dataField="1" showAll="0"/>
    <pivotField numFmtId="165" showAll="0"/>
    <pivotField axis="axisRow" showAll="0">
      <items count="5">
        <item x="1"/>
        <item x="2"/>
        <item x="0"/>
        <item x="3"/>
        <item t="default"/>
      </items>
    </pivotField>
    <pivotField showAll="0"/>
    <pivotField showAll="0"/>
    <pivotField showAll="0"/>
    <pivotField showAll="0"/>
    <pivotField showAll="0"/>
    <pivotField showAll="0"/>
    <pivotField axis="axisPage" showAll="0">
      <items count="4">
        <item x="0"/>
        <item x="2"/>
        <item x="1"/>
        <item t="default"/>
      </items>
    </pivotField>
    <pivotField showAll="0"/>
    <pivotField numFmtId="167" showAll="0"/>
  </pivotFields>
  <rowFields count="1">
    <field x="2"/>
  </rowFields>
  <rowItems count="5">
    <i>
      <x/>
    </i>
    <i>
      <x v="1"/>
    </i>
    <i>
      <x v="2"/>
    </i>
    <i>
      <x v="3"/>
    </i>
    <i t="grand">
      <x/>
    </i>
  </rowItems>
  <colItems count="1">
    <i/>
  </colItems>
  <pageFields count="1">
    <pageField fld="9" item="0" hier="-1"/>
  </pageFields>
  <dataFields count="1">
    <dataField name="Count of Ticket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E765B9-813E-449F-A5C9-18BB9ADC72C3}" name="PT_SLAStatu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6:M49" firstHeaderRow="1" firstDataRow="1" firstDataCol="1"/>
  <pivotFields count="12">
    <pivotField dataField="1" showAll="0"/>
    <pivotField numFmtId="165" showAll="0"/>
    <pivotField showAll="0">
      <items count="5">
        <item x="1"/>
        <item x="2"/>
        <item x="0"/>
        <item x="3"/>
        <item t="default"/>
      </items>
    </pivotField>
    <pivotField showAll="0"/>
    <pivotField showAll="0">
      <items count="4">
        <item x="1"/>
        <item x="0"/>
        <item x="2"/>
        <item t="default"/>
      </items>
    </pivotField>
    <pivotField showAll="0"/>
    <pivotField showAll="0"/>
    <pivotField showAll="0"/>
    <pivotField showAll="0"/>
    <pivotField axis="axisRow" showAll="0">
      <items count="4">
        <item x="0"/>
        <item x="2"/>
        <item h="1" x="1"/>
        <item t="default"/>
      </items>
    </pivotField>
    <pivotField showAll="0"/>
    <pivotField numFmtId="167" showAll="0"/>
  </pivotFields>
  <rowFields count="1">
    <field x="9"/>
  </rowFields>
  <rowItems count="3">
    <i>
      <x/>
    </i>
    <i>
      <x v="1"/>
    </i>
    <i t="grand">
      <x/>
    </i>
  </rowItems>
  <colItems count="1">
    <i/>
  </colItems>
  <dataFields count="1">
    <dataField name="Count of Tickets"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0018D1-D7C2-491D-8B7E-DFA56473978D}" name="PT_TierPriorit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6:G51" firstHeaderRow="1" firstDataRow="2" firstDataCol="1"/>
  <pivotFields count="12">
    <pivotField dataField="1" showAll="0"/>
    <pivotField numFmtId="165" showAll="0"/>
    <pivotField axis="axisCol" showAll="0">
      <items count="5">
        <item x="1"/>
        <item x="2"/>
        <item x="0"/>
        <item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numFmtId="167" showAll="0"/>
  </pivotFields>
  <rowFields count="1">
    <field x="4"/>
  </rowFields>
  <rowItems count="4">
    <i>
      <x/>
    </i>
    <i>
      <x v="1"/>
    </i>
    <i>
      <x v="2"/>
    </i>
    <i t="grand">
      <x/>
    </i>
  </rowItems>
  <colFields count="1">
    <field x="2"/>
  </colFields>
  <colItems count="5">
    <i>
      <x/>
    </i>
    <i>
      <x v="1"/>
    </i>
    <i>
      <x v="2"/>
    </i>
    <i>
      <x v="3"/>
    </i>
    <i t="grand">
      <x/>
    </i>
  </colItems>
  <dataFields count="1">
    <dataField name="Count of Tickets"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DC9DF617-3891-4400-8BF8-E41119B65B9E}" sourceName="Priority">
  <pivotTables>
    <pivotTable tabId="2" name="PT_TierPriority"/>
    <pivotTable tabId="2" name="PT_SLAStatus"/>
    <pivotTable tabId="2" name="PT_BreachByPriority"/>
    <pivotTable tabId="2" name="PT_OpenClosedTime"/>
  </pivotTables>
  <data>
    <tabular pivotCacheId="1138251226">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90B4DDA1-9BDF-432D-96C8-36DDD9058108}" sourceName="Tier">
  <pivotTables>
    <pivotTable tabId="2" name="PT_TierPriority"/>
    <pivotTable tabId="2" name="PT_SLAStatus"/>
    <pivotTable tabId="2" name="PT_OpenClosedTime"/>
  </pivotTables>
  <data>
    <tabular pivotCacheId="113825122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Slicer" xr10:uid="{BCB48C2D-92A3-44E8-9342-00BC1F42889F}" cache="Slicer_Priority" caption="Priority" style="SlicerStyleLight3" rowHeight="241300"/>
  <slicer name="TierSlicer" xr10:uid="{B04E1029-BAD4-4EAD-B822-21A070501D6F}" cache="Slicer_Tier" caption="Tier"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ECA1D-1DC0-492E-8726-33E5EB6390B2}" name="TicketsTable" displayName="TicketsTable" ref="A1:L181" totalsRowShown="0" headerRowDxfId="0">
  <autoFilter ref="A1:L181" xr:uid="{00000000-0009-0000-0000-000000000000}"/>
  <tableColumns count="12">
    <tableColumn id="1" xr3:uid="{2E758C5D-A5A5-44FA-953D-F30F5C8ABB99}" name="TicketID"/>
    <tableColumn id="2" xr3:uid="{F11B5231-E22C-477B-9D74-2DC92434FBF3}" name="DateLogged" dataDxfId="4"/>
    <tableColumn id="3" xr3:uid="{D62287E8-8573-4CA7-B064-2E0F0B64DC3E}" name="Priority"/>
    <tableColumn id="4" xr3:uid="{AA786B97-B175-47F2-8EA8-165465EA0050}" name="Category"/>
    <tableColumn id="5" xr3:uid="{997A766A-80D0-415A-914E-B01736A99066}" name="Tier"/>
    <tableColumn id="6" xr3:uid="{8C017DA9-1DAC-4FFF-90D7-EBBF05749485}" name="Status"/>
    <tableColumn id="7" xr3:uid="{BC806F53-01A6-49A7-8F5B-9A8315C6D3BE}" name="SLA_Target_Hours"/>
    <tableColumn id="8" xr3:uid="{4591FFEB-24B2-4FA0-9040-822097DA31C9}" name="ResolvedDateTime" dataDxfId="3"/>
    <tableColumn id="9" xr3:uid="{886A1567-C80E-43B4-B7B8-A8AA11B75447}" name="ResolutionHours" dataDxfId="2">
      <calculatedColumnFormula>IF(H2="","",(H2-B2)*24)</calculatedColumnFormula>
    </tableColumn>
    <tableColumn id="10" xr3:uid="{325AE85E-F7D4-4340-8958-FCACF28D86E9}" name="SLA_Status">
      <calculatedColumnFormula>IF(H2="","Open",IF(I2&lt;=G2,"Met","Breached"))</calculatedColumnFormula>
    </tableColumn>
    <tableColumn id="11" xr3:uid="{4C817F0E-40AF-4969-A2E3-2F8BF4339CD6}" name="Owner"/>
    <tableColumn id="12" xr3:uid="{D2BE1C59-B39C-4BF8-89FA-34B266D02331}" name="MonthLogged" dataDxfId="1">
      <calculatedColumnFormula>DATE(YEAR(B2),MONTH(B2),1)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workbookViewId="0">
      <pane ySplit="1" topLeftCell="A2" activePane="bottomLeft" state="frozen"/>
      <selection pane="bottomLeft"/>
    </sheetView>
  </sheetViews>
  <sheetFormatPr defaultRowHeight="14.25" x14ac:dyDescent="0.45"/>
  <cols>
    <col min="1" max="1" width="11" customWidth="1"/>
    <col min="2" max="2" width="18" customWidth="1"/>
    <col min="3" max="3" width="9" customWidth="1"/>
    <col min="4" max="4" width="11" customWidth="1"/>
    <col min="5" max="5" width="7" customWidth="1"/>
    <col min="6" max="6" width="12" customWidth="1"/>
    <col min="7" max="7" width="17.33203125" customWidth="1"/>
    <col min="8" max="8" width="18" customWidth="1"/>
    <col min="9" max="9" width="16.1328125" customWidth="1"/>
    <col min="10" max="10" width="12" customWidth="1"/>
    <col min="11" max="11" width="14" customWidth="1"/>
    <col min="12" max="12" width="13.929687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s="2">
        <v>45744.68644675926</v>
      </c>
      <c r="C2" t="s">
        <v>13</v>
      </c>
      <c r="D2" t="s">
        <v>14</v>
      </c>
      <c r="E2" t="s">
        <v>15</v>
      </c>
      <c r="F2" t="s">
        <v>16</v>
      </c>
      <c r="G2">
        <v>24</v>
      </c>
      <c r="H2" s="2">
        <v>45747.032615312433</v>
      </c>
      <c r="I2" s="3">
        <f t="shared" ref="I2:I33" si="0">IF(H2="","",(H2-B2)*24)</f>
        <v>56.308045276149642</v>
      </c>
      <c r="J2" t="str">
        <f t="shared" ref="J2:J33" si="1">IF(H2="","Open",IF(I2&lt;=G2,"Met","Breached"))</f>
        <v>Breached</v>
      </c>
      <c r="K2" t="s">
        <v>17</v>
      </c>
      <c r="L2" s="4">
        <f t="shared" ref="L2:L33" si="2">DATE(YEAR(B2),MONTH(B2),1)</f>
        <v>45717</v>
      </c>
    </row>
    <row r="3" spans="1:12" x14ac:dyDescent="0.45">
      <c r="A3" t="s">
        <v>18</v>
      </c>
      <c r="B3" s="2">
        <v>45748.356527777767</v>
      </c>
      <c r="C3" t="s">
        <v>13</v>
      </c>
      <c r="D3" t="s">
        <v>14</v>
      </c>
      <c r="E3" t="s">
        <v>19</v>
      </c>
      <c r="F3" t="s">
        <v>16</v>
      </c>
      <c r="G3">
        <v>24</v>
      </c>
      <c r="H3" s="2">
        <v>45749.754493666478</v>
      </c>
      <c r="I3" s="3">
        <f t="shared" si="0"/>
        <v>33.551181329065003</v>
      </c>
      <c r="J3" t="str">
        <f t="shared" si="1"/>
        <v>Breached</v>
      </c>
      <c r="K3" t="s">
        <v>17</v>
      </c>
      <c r="L3" s="4">
        <f t="shared" si="2"/>
        <v>45748</v>
      </c>
    </row>
    <row r="4" spans="1:12" x14ac:dyDescent="0.45">
      <c r="A4" t="s">
        <v>20</v>
      </c>
      <c r="B4" s="2">
        <v>45972.3516087963</v>
      </c>
      <c r="C4" t="s">
        <v>13</v>
      </c>
      <c r="D4" t="s">
        <v>21</v>
      </c>
      <c r="E4" t="s">
        <v>19</v>
      </c>
      <c r="F4" t="s">
        <v>22</v>
      </c>
      <c r="G4">
        <v>24</v>
      </c>
      <c r="I4" s="3" t="str">
        <f t="shared" si="0"/>
        <v/>
      </c>
      <c r="J4" t="str">
        <f t="shared" si="1"/>
        <v>Open</v>
      </c>
      <c r="K4" t="s">
        <v>23</v>
      </c>
      <c r="L4" s="4">
        <f t="shared" si="2"/>
        <v>45962</v>
      </c>
    </row>
    <row r="5" spans="1:12" x14ac:dyDescent="0.45">
      <c r="A5" t="s">
        <v>24</v>
      </c>
      <c r="B5" s="2">
        <v>45954.511701388888</v>
      </c>
      <c r="C5" t="s">
        <v>13</v>
      </c>
      <c r="D5" t="s">
        <v>25</v>
      </c>
      <c r="E5" t="s">
        <v>19</v>
      </c>
      <c r="F5" t="s">
        <v>26</v>
      </c>
      <c r="G5">
        <v>24</v>
      </c>
      <c r="H5" s="2">
        <v>45955.730955048348</v>
      </c>
      <c r="I5" s="3">
        <f t="shared" si="0"/>
        <v>29.262087827024516</v>
      </c>
      <c r="J5" t="str">
        <f t="shared" si="1"/>
        <v>Breached</v>
      </c>
      <c r="K5" t="s">
        <v>17</v>
      </c>
      <c r="L5" s="4">
        <f t="shared" si="2"/>
        <v>45931</v>
      </c>
    </row>
    <row r="6" spans="1:12" x14ac:dyDescent="0.45">
      <c r="A6" t="s">
        <v>27</v>
      </c>
      <c r="B6" s="2">
        <v>45706.477662037039</v>
      </c>
      <c r="C6" t="s">
        <v>13</v>
      </c>
      <c r="D6" t="s">
        <v>14</v>
      </c>
      <c r="E6" t="s">
        <v>15</v>
      </c>
      <c r="F6" t="s">
        <v>28</v>
      </c>
      <c r="G6">
        <v>24</v>
      </c>
      <c r="I6" s="3" t="str">
        <f t="shared" si="0"/>
        <v/>
      </c>
      <c r="J6" t="str">
        <f t="shared" si="1"/>
        <v>Open</v>
      </c>
      <c r="K6" t="s">
        <v>29</v>
      </c>
      <c r="L6" s="4">
        <f t="shared" si="2"/>
        <v>45689</v>
      </c>
    </row>
    <row r="7" spans="1:12" x14ac:dyDescent="0.45">
      <c r="A7" t="s">
        <v>30</v>
      </c>
      <c r="B7" s="2">
        <v>46001.875347222223</v>
      </c>
      <c r="C7" t="s">
        <v>31</v>
      </c>
      <c r="D7" t="s">
        <v>25</v>
      </c>
      <c r="E7" t="s">
        <v>15</v>
      </c>
      <c r="F7" t="s">
        <v>22</v>
      </c>
      <c r="G7">
        <v>4</v>
      </c>
      <c r="I7" s="3" t="str">
        <f t="shared" si="0"/>
        <v/>
      </c>
      <c r="J7" t="str">
        <f t="shared" si="1"/>
        <v>Open</v>
      </c>
      <c r="K7" t="s">
        <v>32</v>
      </c>
      <c r="L7" s="4">
        <f t="shared" si="2"/>
        <v>45992</v>
      </c>
    </row>
    <row r="8" spans="1:12" x14ac:dyDescent="0.45">
      <c r="A8" t="s">
        <v>33</v>
      </c>
      <c r="B8" s="2">
        <v>45688.988125000003</v>
      </c>
      <c r="C8" t="s">
        <v>13</v>
      </c>
      <c r="D8" t="s">
        <v>14</v>
      </c>
      <c r="E8" t="s">
        <v>15</v>
      </c>
      <c r="F8" t="s">
        <v>22</v>
      </c>
      <c r="G8">
        <v>24</v>
      </c>
      <c r="I8" s="3" t="str">
        <f t="shared" si="0"/>
        <v/>
      </c>
      <c r="J8" t="str">
        <f t="shared" si="1"/>
        <v>Open</v>
      </c>
      <c r="K8" t="s">
        <v>23</v>
      </c>
      <c r="L8" s="4">
        <f t="shared" si="2"/>
        <v>45658</v>
      </c>
    </row>
    <row r="9" spans="1:12" x14ac:dyDescent="0.45">
      <c r="A9" t="s">
        <v>34</v>
      </c>
      <c r="B9" s="2">
        <v>45721.168576388889</v>
      </c>
      <c r="C9" t="s">
        <v>13</v>
      </c>
      <c r="D9" t="s">
        <v>35</v>
      </c>
      <c r="E9" t="s">
        <v>15</v>
      </c>
      <c r="F9" t="s">
        <v>26</v>
      </c>
      <c r="G9">
        <v>24</v>
      </c>
      <c r="H9" s="2">
        <v>45721.466865763388</v>
      </c>
      <c r="I9" s="3">
        <f t="shared" si="0"/>
        <v>7.1589449879829772</v>
      </c>
      <c r="J9" t="str">
        <f t="shared" si="1"/>
        <v>Met</v>
      </c>
      <c r="K9" t="s">
        <v>36</v>
      </c>
      <c r="L9" s="4">
        <f t="shared" si="2"/>
        <v>45717</v>
      </c>
    </row>
    <row r="10" spans="1:12" x14ac:dyDescent="0.45">
      <c r="A10" t="s">
        <v>37</v>
      </c>
      <c r="B10" s="2">
        <v>45941.164756944447</v>
      </c>
      <c r="C10" t="s">
        <v>13</v>
      </c>
      <c r="D10" t="s">
        <v>38</v>
      </c>
      <c r="E10" t="s">
        <v>15</v>
      </c>
      <c r="F10" t="s">
        <v>26</v>
      </c>
      <c r="G10">
        <v>24</v>
      </c>
      <c r="H10" s="2">
        <v>45941.46580842336</v>
      </c>
      <c r="I10" s="3">
        <f t="shared" si="0"/>
        <v>7.2252354939118959</v>
      </c>
      <c r="J10" t="str">
        <f t="shared" si="1"/>
        <v>Met</v>
      </c>
      <c r="K10" t="s">
        <v>29</v>
      </c>
      <c r="L10" s="4">
        <f t="shared" si="2"/>
        <v>45931</v>
      </c>
    </row>
    <row r="11" spans="1:12" x14ac:dyDescent="0.45">
      <c r="A11" t="s">
        <v>39</v>
      </c>
      <c r="B11" s="2">
        <v>45746.9534375</v>
      </c>
      <c r="C11" t="s">
        <v>13</v>
      </c>
      <c r="D11" t="s">
        <v>21</v>
      </c>
      <c r="E11" t="s">
        <v>15</v>
      </c>
      <c r="F11" t="s">
        <v>28</v>
      </c>
      <c r="G11">
        <v>24</v>
      </c>
      <c r="I11" s="3" t="str">
        <f t="shared" si="0"/>
        <v/>
      </c>
      <c r="J11" t="str">
        <f t="shared" si="1"/>
        <v>Open</v>
      </c>
      <c r="K11" t="s">
        <v>40</v>
      </c>
      <c r="L11" s="4">
        <f t="shared" si="2"/>
        <v>45717</v>
      </c>
    </row>
    <row r="12" spans="1:12" x14ac:dyDescent="0.45">
      <c r="A12" t="s">
        <v>41</v>
      </c>
      <c r="B12" s="2">
        <v>45998.347418981481</v>
      </c>
      <c r="C12" t="s">
        <v>13</v>
      </c>
      <c r="D12" t="s">
        <v>14</v>
      </c>
      <c r="E12" t="s">
        <v>19</v>
      </c>
      <c r="F12" t="s">
        <v>26</v>
      </c>
      <c r="G12">
        <v>24</v>
      </c>
      <c r="H12" s="2">
        <v>45998.861704052812</v>
      </c>
      <c r="I12" s="3">
        <f t="shared" si="0"/>
        <v>12.342841711943038</v>
      </c>
      <c r="J12" t="str">
        <f t="shared" si="1"/>
        <v>Met</v>
      </c>
      <c r="K12" t="s">
        <v>32</v>
      </c>
      <c r="L12" s="4">
        <f t="shared" si="2"/>
        <v>45992</v>
      </c>
    </row>
    <row r="13" spans="1:12" x14ac:dyDescent="0.45">
      <c r="A13" t="s">
        <v>42</v>
      </c>
      <c r="B13" s="2">
        <v>45947.325023148151</v>
      </c>
      <c r="C13" t="s">
        <v>13</v>
      </c>
      <c r="D13" t="s">
        <v>21</v>
      </c>
      <c r="E13" t="s">
        <v>19</v>
      </c>
      <c r="F13" t="s">
        <v>26</v>
      </c>
      <c r="G13">
        <v>24</v>
      </c>
      <c r="H13" s="2">
        <v>45947.918688119047</v>
      </c>
      <c r="I13" s="3">
        <f t="shared" si="0"/>
        <v>14.247959301515948</v>
      </c>
      <c r="J13" t="str">
        <f t="shared" si="1"/>
        <v>Met</v>
      </c>
      <c r="K13" t="s">
        <v>17</v>
      </c>
      <c r="L13" s="4">
        <f t="shared" si="2"/>
        <v>45931</v>
      </c>
    </row>
    <row r="14" spans="1:12" x14ac:dyDescent="0.45">
      <c r="A14" t="s">
        <v>43</v>
      </c>
      <c r="B14" s="2">
        <v>45855.880381944437</v>
      </c>
      <c r="C14" t="s">
        <v>13</v>
      </c>
      <c r="D14" t="s">
        <v>21</v>
      </c>
      <c r="E14" t="s">
        <v>44</v>
      </c>
      <c r="F14" t="s">
        <v>16</v>
      </c>
      <c r="G14">
        <v>24</v>
      </c>
      <c r="H14" s="2">
        <v>45856.731207650439</v>
      </c>
      <c r="I14" s="3">
        <f t="shared" si="0"/>
        <v>20.419816944049671</v>
      </c>
      <c r="J14" t="str">
        <f t="shared" si="1"/>
        <v>Met</v>
      </c>
      <c r="K14" t="s">
        <v>45</v>
      </c>
      <c r="L14" s="4">
        <f t="shared" si="2"/>
        <v>45839</v>
      </c>
    </row>
    <row r="15" spans="1:12" x14ac:dyDescent="0.45">
      <c r="A15" t="s">
        <v>46</v>
      </c>
      <c r="B15" s="2">
        <v>45807.428796296299</v>
      </c>
      <c r="C15" t="s">
        <v>47</v>
      </c>
      <c r="D15" t="s">
        <v>48</v>
      </c>
      <c r="E15" t="s">
        <v>19</v>
      </c>
      <c r="F15" t="s">
        <v>26</v>
      </c>
      <c r="G15">
        <v>8</v>
      </c>
      <c r="H15" s="2">
        <v>45807.609488409937</v>
      </c>
      <c r="I15" s="3">
        <f t="shared" si="0"/>
        <v>4.3366107273031957</v>
      </c>
      <c r="J15" t="str">
        <f t="shared" si="1"/>
        <v>Met</v>
      </c>
      <c r="K15" t="s">
        <v>49</v>
      </c>
      <c r="L15" s="4">
        <f t="shared" si="2"/>
        <v>45778</v>
      </c>
    </row>
    <row r="16" spans="1:12" x14ac:dyDescent="0.45">
      <c r="A16" t="s">
        <v>50</v>
      </c>
      <c r="B16" s="2">
        <v>45922.7500462963</v>
      </c>
      <c r="C16" t="s">
        <v>51</v>
      </c>
      <c r="D16" t="s">
        <v>14</v>
      </c>
      <c r="E16" t="s">
        <v>15</v>
      </c>
      <c r="F16" t="s">
        <v>28</v>
      </c>
      <c r="G16">
        <v>72</v>
      </c>
      <c r="I16" s="3" t="str">
        <f t="shared" si="0"/>
        <v/>
      </c>
      <c r="J16" t="str">
        <f t="shared" si="1"/>
        <v>Open</v>
      </c>
      <c r="K16" t="s">
        <v>49</v>
      </c>
      <c r="L16" s="4">
        <f t="shared" si="2"/>
        <v>45901</v>
      </c>
    </row>
    <row r="17" spans="1:12" x14ac:dyDescent="0.45">
      <c r="A17" t="s">
        <v>52</v>
      </c>
      <c r="B17" s="2">
        <v>45719.422372685192</v>
      </c>
      <c r="C17" t="s">
        <v>51</v>
      </c>
      <c r="D17" t="s">
        <v>25</v>
      </c>
      <c r="E17" t="s">
        <v>19</v>
      </c>
      <c r="F17" t="s">
        <v>16</v>
      </c>
      <c r="G17">
        <v>72</v>
      </c>
      <c r="H17" s="2">
        <v>45722.016002388853</v>
      </c>
      <c r="I17" s="3">
        <f t="shared" si="0"/>
        <v>62.247112887853291</v>
      </c>
      <c r="J17" t="str">
        <f t="shared" si="1"/>
        <v>Met</v>
      </c>
      <c r="K17" t="s">
        <v>53</v>
      </c>
      <c r="L17" s="4">
        <f t="shared" si="2"/>
        <v>45717</v>
      </c>
    </row>
    <row r="18" spans="1:12" x14ac:dyDescent="0.45">
      <c r="A18" t="s">
        <v>54</v>
      </c>
      <c r="B18" s="2">
        <v>45996.075879629629</v>
      </c>
      <c r="C18" t="s">
        <v>13</v>
      </c>
      <c r="D18" t="s">
        <v>21</v>
      </c>
      <c r="E18" t="s">
        <v>19</v>
      </c>
      <c r="F18" t="s">
        <v>16</v>
      </c>
      <c r="G18">
        <v>24</v>
      </c>
      <c r="H18" s="2">
        <v>45996.598006109867</v>
      </c>
      <c r="I18" s="3">
        <f t="shared" si="0"/>
        <v>12.531035525724292</v>
      </c>
      <c r="J18" t="str">
        <f t="shared" si="1"/>
        <v>Met</v>
      </c>
      <c r="K18" t="s">
        <v>49</v>
      </c>
      <c r="L18" s="4">
        <f t="shared" si="2"/>
        <v>45992</v>
      </c>
    </row>
    <row r="19" spans="1:12" x14ac:dyDescent="0.45">
      <c r="A19" t="s">
        <v>55</v>
      </c>
      <c r="B19" s="2">
        <v>46014.707488425927</v>
      </c>
      <c r="C19" t="s">
        <v>13</v>
      </c>
      <c r="D19" t="s">
        <v>21</v>
      </c>
      <c r="E19" t="s">
        <v>19</v>
      </c>
      <c r="F19" t="s">
        <v>22</v>
      </c>
      <c r="G19">
        <v>24</v>
      </c>
      <c r="I19" s="3" t="str">
        <f t="shared" si="0"/>
        <v/>
      </c>
      <c r="J19" t="str">
        <f t="shared" si="1"/>
        <v>Open</v>
      </c>
      <c r="K19" t="s">
        <v>29</v>
      </c>
      <c r="L19" s="4">
        <f t="shared" si="2"/>
        <v>45992</v>
      </c>
    </row>
    <row r="20" spans="1:12" x14ac:dyDescent="0.45">
      <c r="A20" t="s">
        <v>56</v>
      </c>
      <c r="B20" s="2">
        <v>45750.994050925918</v>
      </c>
      <c r="C20" t="s">
        <v>47</v>
      </c>
      <c r="D20" t="s">
        <v>25</v>
      </c>
      <c r="E20" t="s">
        <v>44</v>
      </c>
      <c r="F20" t="s">
        <v>16</v>
      </c>
      <c r="G20">
        <v>8</v>
      </c>
      <c r="H20" s="2">
        <v>45751.304271920642</v>
      </c>
      <c r="I20" s="3">
        <f t="shared" si="0"/>
        <v>7.445303873391822</v>
      </c>
      <c r="J20" t="str">
        <f t="shared" si="1"/>
        <v>Met</v>
      </c>
      <c r="K20" t="s">
        <v>23</v>
      </c>
      <c r="L20" s="4">
        <f t="shared" si="2"/>
        <v>45748</v>
      </c>
    </row>
    <row r="21" spans="1:12" x14ac:dyDescent="0.45">
      <c r="A21" t="s">
        <v>57</v>
      </c>
      <c r="B21" s="2">
        <v>45955.420590277783</v>
      </c>
      <c r="C21" t="s">
        <v>13</v>
      </c>
      <c r="D21" t="s">
        <v>14</v>
      </c>
      <c r="E21" t="s">
        <v>44</v>
      </c>
      <c r="F21" t="s">
        <v>16</v>
      </c>
      <c r="G21">
        <v>24</v>
      </c>
      <c r="H21" s="2">
        <v>45956.351159549908</v>
      </c>
      <c r="I21" s="3">
        <f t="shared" si="0"/>
        <v>22.333662530989386</v>
      </c>
      <c r="J21" t="str">
        <f t="shared" si="1"/>
        <v>Met</v>
      </c>
      <c r="K21" t="s">
        <v>29</v>
      </c>
      <c r="L21" s="4">
        <f t="shared" si="2"/>
        <v>45931</v>
      </c>
    </row>
    <row r="22" spans="1:12" x14ac:dyDescent="0.45">
      <c r="A22" t="s">
        <v>58</v>
      </c>
      <c r="B22" s="2">
        <v>46018.754212962973</v>
      </c>
      <c r="C22" t="s">
        <v>13</v>
      </c>
      <c r="D22" t="s">
        <v>38</v>
      </c>
      <c r="E22" t="s">
        <v>19</v>
      </c>
      <c r="F22" t="s">
        <v>26</v>
      </c>
      <c r="G22">
        <v>24</v>
      </c>
      <c r="H22" s="2">
        <v>46019.094109113867</v>
      </c>
      <c r="I22" s="3">
        <f t="shared" si="0"/>
        <v>8.1575076214503497</v>
      </c>
      <c r="J22" t="str">
        <f t="shared" si="1"/>
        <v>Met</v>
      </c>
      <c r="K22" t="s">
        <v>17</v>
      </c>
      <c r="L22" s="4">
        <f t="shared" si="2"/>
        <v>45992</v>
      </c>
    </row>
    <row r="23" spans="1:12" x14ac:dyDescent="0.45">
      <c r="A23" t="s">
        <v>59</v>
      </c>
      <c r="B23" s="2">
        <v>45704.993368055562</v>
      </c>
      <c r="C23" t="s">
        <v>13</v>
      </c>
      <c r="D23" t="s">
        <v>35</v>
      </c>
      <c r="E23" t="s">
        <v>44</v>
      </c>
      <c r="F23" t="s">
        <v>16</v>
      </c>
      <c r="G23">
        <v>24</v>
      </c>
      <c r="H23" s="2">
        <v>45706.080178010568</v>
      </c>
      <c r="I23" s="3">
        <f t="shared" si="0"/>
        <v>26.083438920148183</v>
      </c>
      <c r="J23" t="str">
        <f t="shared" si="1"/>
        <v>Breached</v>
      </c>
      <c r="K23" t="s">
        <v>60</v>
      </c>
      <c r="L23" s="4">
        <f t="shared" si="2"/>
        <v>45689</v>
      </c>
    </row>
    <row r="24" spans="1:12" x14ac:dyDescent="0.45">
      <c r="A24" t="s">
        <v>61</v>
      </c>
      <c r="B24" s="2">
        <v>45746.912164351852</v>
      </c>
      <c r="C24" t="s">
        <v>13</v>
      </c>
      <c r="D24" t="s">
        <v>14</v>
      </c>
      <c r="E24" t="s">
        <v>19</v>
      </c>
      <c r="F24" t="s">
        <v>16</v>
      </c>
      <c r="G24">
        <v>24</v>
      </c>
      <c r="H24" s="2">
        <v>45748.540414207753</v>
      </c>
      <c r="I24" s="3">
        <f t="shared" si="0"/>
        <v>39.077996541629545</v>
      </c>
      <c r="J24" t="str">
        <f t="shared" si="1"/>
        <v>Breached</v>
      </c>
      <c r="K24" t="s">
        <v>40</v>
      </c>
      <c r="L24" s="4">
        <f t="shared" si="2"/>
        <v>45717</v>
      </c>
    </row>
    <row r="25" spans="1:12" x14ac:dyDescent="0.45">
      <c r="A25" t="s">
        <v>62</v>
      </c>
      <c r="B25" s="2">
        <v>45938.922268518523</v>
      </c>
      <c r="C25" t="s">
        <v>47</v>
      </c>
      <c r="D25" t="s">
        <v>35</v>
      </c>
      <c r="E25" t="s">
        <v>19</v>
      </c>
      <c r="F25" t="s">
        <v>28</v>
      </c>
      <c r="G25">
        <v>8</v>
      </c>
      <c r="I25" s="3" t="str">
        <f t="shared" si="0"/>
        <v/>
      </c>
      <c r="J25" t="str">
        <f t="shared" si="1"/>
        <v>Open</v>
      </c>
      <c r="K25" t="s">
        <v>45</v>
      </c>
      <c r="L25" s="4">
        <f t="shared" si="2"/>
        <v>45931</v>
      </c>
    </row>
    <row r="26" spans="1:12" x14ac:dyDescent="0.45">
      <c r="A26" t="s">
        <v>63</v>
      </c>
      <c r="B26" s="2">
        <v>45694.6325</v>
      </c>
      <c r="C26" t="s">
        <v>47</v>
      </c>
      <c r="D26" t="s">
        <v>35</v>
      </c>
      <c r="E26" t="s">
        <v>15</v>
      </c>
      <c r="F26" t="s">
        <v>16</v>
      </c>
      <c r="G26">
        <v>8</v>
      </c>
      <c r="H26" s="2">
        <v>45694.780476039807</v>
      </c>
      <c r="I26" s="3">
        <f t="shared" si="0"/>
        <v>3.5514249553671107</v>
      </c>
      <c r="J26" t="str">
        <f t="shared" si="1"/>
        <v>Met</v>
      </c>
      <c r="K26" t="s">
        <v>17</v>
      </c>
      <c r="L26" s="4">
        <f t="shared" si="2"/>
        <v>45689</v>
      </c>
    </row>
    <row r="27" spans="1:12" x14ac:dyDescent="0.45">
      <c r="A27" t="s">
        <v>64</v>
      </c>
      <c r="B27" s="2">
        <v>45681.539618055547</v>
      </c>
      <c r="C27" t="s">
        <v>13</v>
      </c>
      <c r="D27" t="s">
        <v>48</v>
      </c>
      <c r="E27" t="s">
        <v>15</v>
      </c>
      <c r="F27" t="s">
        <v>16</v>
      </c>
      <c r="G27">
        <v>24</v>
      </c>
      <c r="H27" s="2">
        <v>45682.390973514361</v>
      </c>
      <c r="I27" s="3">
        <f t="shared" si="0"/>
        <v>20.432531011523679</v>
      </c>
      <c r="J27" t="str">
        <f t="shared" si="1"/>
        <v>Met</v>
      </c>
      <c r="K27" t="s">
        <v>49</v>
      </c>
      <c r="L27" s="4">
        <f t="shared" si="2"/>
        <v>45658</v>
      </c>
    </row>
    <row r="28" spans="1:12" x14ac:dyDescent="0.45">
      <c r="A28" t="s">
        <v>65</v>
      </c>
      <c r="B28" s="2">
        <v>45766.176203703697</v>
      </c>
      <c r="C28" t="s">
        <v>47</v>
      </c>
      <c r="D28" t="s">
        <v>35</v>
      </c>
      <c r="E28" t="s">
        <v>19</v>
      </c>
      <c r="F28" t="s">
        <v>26</v>
      </c>
      <c r="G28">
        <v>8</v>
      </c>
      <c r="H28" s="2">
        <v>45766.216239685768</v>
      </c>
      <c r="I28" s="3">
        <f t="shared" si="0"/>
        <v>0.96086356969317421</v>
      </c>
      <c r="J28" t="str">
        <f t="shared" si="1"/>
        <v>Met</v>
      </c>
      <c r="K28" t="s">
        <v>45</v>
      </c>
      <c r="L28" s="4">
        <f t="shared" si="2"/>
        <v>45748</v>
      </c>
    </row>
    <row r="29" spans="1:12" x14ac:dyDescent="0.45">
      <c r="A29" t="s">
        <v>66</v>
      </c>
      <c r="B29" s="2">
        <v>45982.680902777778</v>
      </c>
      <c r="C29" t="s">
        <v>51</v>
      </c>
      <c r="D29" t="s">
        <v>14</v>
      </c>
      <c r="E29" t="s">
        <v>19</v>
      </c>
      <c r="F29" t="s">
        <v>16</v>
      </c>
      <c r="G29">
        <v>72</v>
      </c>
      <c r="H29" s="2">
        <v>45989.787121673879</v>
      </c>
      <c r="I29" s="3">
        <f t="shared" si="0"/>
        <v>170.54925350641133</v>
      </c>
      <c r="J29" t="str">
        <f t="shared" si="1"/>
        <v>Breached</v>
      </c>
      <c r="K29" t="s">
        <v>29</v>
      </c>
      <c r="L29" s="4">
        <f t="shared" si="2"/>
        <v>45962</v>
      </c>
    </row>
    <row r="30" spans="1:12" x14ac:dyDescent="0.45">
      <c r="A30" t="s">
        <v>67</v>
      </c>
      <c r="B30" s="2">
        <v>46008.474039351851</v>
      </c>
      <c r="C30" t="s">
        <v>13</v>
      </c>
      <c r="D30" t="s">
        <v>35</v>
      </c>
      <c r="E30" t="s">
        <v>19</v>
      </c>
      <c r="F30" t="s">
        <v>16</v>
      </c>
      <c r="G30">
        <v>24</v>
      </c>
      <c r="H30" s="2">
        <v>46009.44037657656</v>
      </c>
      <c r="I30" s="3">
        <f t="shared" si="0"/>
        <v>23.19209339300869</v>
      </c>
      <c r="J30" t="str">
        <f t="shared" si="1"/>
        <v>Met</v>
      </c>
      <c r="K30" t="s">
        <v>53</v>
      </c>
      <c r="L30" s="4">
        <f t="shared" si="2"/>
        <v>45992</v>
      </c>
    </row>
    <row r="31" spans="1:12" x14ac:dyDescent="0.45">
      <c r="A31" t="s">
        <v>68</v>
      </c>
      <c r="B31" s="2">
        <v>45915.045312499999</v>
      </c>
      <c r="C31" t="s">
        <v>51</v>
      </c>
      <c r="D31" t="s">
        <v>35</v>
      </c>
      <c r="E31" t="s">
        <v>19</v>
      </c>
      <c r="F31" t="s">
        <v>26</v>
      </c>
      <c r="G31">
        <v>72</v>
      </c>
      <c r="H31" s="2">
        <v>45916.023127333123</v>
      </c>
      <c r="I31" s="3">
        <f t="shared" si="0"/>
        <v>23.467555994982831</v>
      </c>
      <c r="J31" t="str">
        <f t="shared" si="1"/>
        <v>Met</v>
      </c>
      <c r="K31" t="s">
        <v>29</v>
      </c>
      <c r="L31" s="4">
        <f t="shared" si="2"/>
        <v>45901</v>
      </c>
    </row>
    <row r="32" spans="1:12" x14ac:dyDescent="0.45">
      <c r="A32" t="s">
        <v>69</v>
      </c>
      <c r="B32" s="2">
        <v>45680.200787037043</v>
      </c>
      <c r="C32" t="s">
        <v>13</v>
      </c>
      <c r="D32" t="s">
        <v>38</v>
      </c>
      <c r="E32" t="s">
        <v>19</v>
      </c>
      <c r="F32" t="s">
        <v>16</v>
      </c>
      <c r="G32">
        <v>24</v>
      </c>
      <c r="H32" s="2">
        <v>45681.105817068717</v>
      </c>
      <c r="I32" s="3">
        <f t="shared" si="0"/>
        <v>21.720720760175027</v>
      </c>
      <c r="J32" t="str">
        <f t="shared" si="1"/>
        <v>Met</v>
      </c>
      <c r="K32" t="s">
        <v>36</v>
      </c>
      <c r="L32" s="4">
        <f t="shared" si="2"/>
        <v>45658</v>
      </c>
    </row>
    <row r="33" spans="1:12" x14ac:dyDescent="0.45">
      <c r="A33" t="s">
        <v>70</v>
      </c>
      <c r="B33" s="2">
        <v>45684.611041666663</v>
      </c>
      <c r="C33" t="s">
        <v>31</v>
      </c>
      <c r="D33" t="s">
        <v>38</v>
      </c>
      <c r="E33" t="s">
        <v>19</v>
      </c>
      <c r="F33" t="s">
        <v>16</v>
      </c>
      <c r="G33">
        <v>4</v>
      </c>
      <c r="H33" s="2">
        <v>45684.655831603734</v>
      </c>
      <c r="I33" s="3">
        <f t="shared" si="0"/>
        <v>1.0749584896839224</v>
      </c>
      <c r="J33" t="str">
        <f t="shared" si="1"/>
        <v>Met</v>
      </c>
      <c r="K33" t="s">
        <v>45</v>
      </c>
      <c r="L33" s="4">
        <f t="shared" si="2"/>
        <v>45658</v>
      </c>
    </row>
    <row r="34" spans="1:12" x14ac:dyDescent="0.45">
      <c r="A34" t="s">
        <v>71</v>
      </c>
      <c r="B34" s="2">
        <v>45898.543912037043</v>
      </c>
      <c r="C34" t="s">
        <v>51</v>
      </c>
      <c r="D34" t="s">
        <v>21</v>
      </c>
      <c r="E34" t="s">
        <v>15</v>
      </c>
      <c r="F34" t="s">
        <v>16</v>
      </c>
      <c r="G34">
        <v>72</v>
      </c>
      <c r="H34" s="2">
        <v>45900.270895154557</v>
      </c>
      <c r="I34" s="3">
        <f t="shared" ref="I34:I65" si="3">IF(H34="","",(H34-B34)*24)</f>
        <v>41.447594820347149</v>
      </c>
      <c r="J34" t="str">
        <f t="shared" ref="J34:J65" si="4">IF(H34="","Open",IF(I34&lt;=G34,"Met","Breached"))</f>
        <v>Met</v>
      </c>
      <c r="K34" t="s">
        <v>40</v>
      </c>
      <c r="L34" s="4">
        <f t="shared" ref="L34:L65" si="5">DATE(YEAR(B34),MONTH(B34),1)</f>
        <v>45870</v>
      </c>
    </row>
    <row r="35" spans="1:12" x14ac:dyDescent="0.45">
      <c r="A35" t="s">
        <v>72</v>
      </c>
      <c r="B35" s="2">
        <v>45761.154444444437</v>
      </c>
      <c r="C35" t="s">
        <v>47</v>
      </c>
      <c r="D35" t="s">
        <v>48</v>
      </c>
      <c r="E35" t="s">
        <v>15</v>
      </c>
      <c r="F35" t="s">
        <v>16</v>
      </c>
      <c r="G35">
        <v>8</v>
      </c>
      <c r="H35" s="2">
        <v>45761.264110205848</v>
      </c>
      <c r="I35" s="3">
        <f t="shared" si="3"/>
        <v>2.6319782738573849</v>
      </c>
      <c r="J35" t="str">
        <f t="shared" si="4"/>
        <v>Met</v>
      </c>
      <c r="K35" t="s">
        <v>17</v>
      </c>
      <c r="L35" s="4">
        <f t="shared" si="5"/>
        <v>45748</v>
      </c>
    </row>
    <row r="36" spans="1:12" x14ac:dyDescent="0.45">
      <c r="A36" t="s">
        <v>73</v>
      </c>
      <c r="B36" s="2">
        <v>45876.64503472222</v>
      </c>
      <c r="C36" t="s">
        <v>51</v>
      </c>
      <c r="D36" t="s">
        <v>14</v>
      </c>
      <c r="E36" t="s">
        <v>19</v>
      </c>
      <c r="F36" t="s">
        <v>22</v>
      </c>
      <c r="G36">
        <v>72</v>
      </c>
      <c r="I36" s="3" t="str">
        <f t="shared" si="3"/>
        <v/>
      </c>
      <c r="J36" t="str">
        <f t="shared" si="4"/>
        <v>Open</v>
      </c>
      <c r="K36" t="s">
        <v>32</v>
      </c>
      <c r="L36" s="4">
        <f t="shared" si="5"/>
        <v>45870</v>
      </c>
    </row>
    <row r="37" spans="1:12" x14ac:dyDescent="0.45">
      <c r="A37" t="s">
        <v>74</v>
      </c>
      <c r="B37" s="2">
        <v>46000.093715277777</v>
      </c>
      <c r="C37" t="s">
        <v>13</v>
      </c>
      <c r="D37" t="s">
        <v>38</v>
      </c>
      <c r="E37" t="s">
        <v>19</v>
      </c>
      <c r="F37" t="s">
        <v>16</v>
      </c>
      <c r="G37">
        <v>24</v>
      </c>
      <c r="H37" s="2">
        <v>46000.408753551608</v>
      </c>
      <c r="I37" s="3">
        <f t="shared" si="3"/>
        <v>7.5609185719513334</v>
      </c>
      <c r="J37" t="str">
        <f t="shared" si="4"/>
        <v>Met</v>
      </c>
      <c r="K37" t="s">
        <v>36</v>
      </c>
      <c r="L37" s="4">
        <f t="shared" si="5"/>
        <v>45992</v>
      </c>
    </row>
    <row r="38" spans="1:12" x14ac:dyDescent="0.45">
      <c r="A38" t="s">
        <v>75</v>
      </c>
      <c r="B38" s="2">
        <v>45661.038182870368</v>
      </c>
      <c r="C38" t="s">
        <v>13</v>
      </c>
      <c r="D38" t="s">
        <v>25</v>
      </c>
      <c r="E38" t="s">
        <v>15</v>
      </c>
      <c r="F38" t="s">
        <v>16</v>
      </c>
      <c r="G38">
        <v>24</v>
      </c>
      <c r="H38" s="2">
        <v>45661.954715987049</v>
      </c>
      <c r="I38" s="3">
        <f t="shared" si="3"/>
        <v>21.996794800332282</v>
      </c>
      <c r="J38" t="str">
        <f t="shared" si="4"/>
        <v>Met</v>
      </c>
      <c r="K38" t="s">
        <v>29</v>
      </c>
      <c r="L38" s="4">
        <f t="shared" si="5"/>
        <v>45658</v>
      </c>
    </row>
    <row r="39" spans="1:12" x14ac:dyDescent="0.45">
      <c r="A39" t="s">
        <v>76</v>
      </c>
      <c r="B39" s="2">
        <v>45946.326041666667</v>
      </c>
      <c r="C39" t="s">
        <v>51</v>
      </c>
      <c r="D39" t="s">
        <v>25</v>
      </c>
      <c r="E39" t="s">
        <v>19</v>
      </c>
      <c r="F39" t="s">
        <v>26</v>
      </c>
      <c r="G39">
        <v>72</v>
      </c>
      <c r="H39" s="2">
        <v>45948.163516884088</v>
      </c>
      <c r="I39" s="3">
        <f t="shared" si="3"/>
        <v>44.099405218090396</v>
      </c>
      <c r="J39" t="str">
        <f t="shared" si="4"/>
        <v>Met</v>
      </c>
      <c r="K39" t="s">
        <v>49</v>
      </c>
      <c r="L39" s="4">
        <f t="shared" si="5"/>
        <v>45931</v>
      </c>
    </row>
    <row r="40" spans="1:12" x14ac:dyDescent="0.45">
      <c r="A40" t="s">
        <v>77</v>
      </c>
      <c r="B40" s="2">
        <v>45847.726944444446</v>
      </c>
      <c r="C40" t="s">
        <v>47</v>
      </c>
      <c r="D40" t="s">
        <v>48</v>
      </c>
      <c r="E40" t="s">
        <v>15</v>
      </c>
      <c r="F40" t="s">
        <v>16</v>
      </c>
      <c r="G40">
        <v>8</v>
      </c>
      <c r="H40" s="2">
        <v>45847.759358768148</v>
      </c>
      <c r="I40" s="3">
        <f t="shared" si="3"/>
        <v>0.77794376882957295</v>
      </c>
      <c r="J40" t="str">
        <f t="shared" si="4"/>
        <v>Met</v>
      </c>
      <c r="K40" t="s">
        <v>29</v>
      </c>
      <c r="L40" s="4">
        <f t="shared" si="5"/>
        <v>45839</v>
      </c>
    </row>
    <row r="41" spans="1:12" x14ac:dyDescent="0.45">
      <c r="A41" t="s">
        <v>78</v>
      </c>
      <c r="B41" s="2">
        <v>45905.430289351847</v>
      </c>
      <c r="C41" t="s">
        <v>51</v>
      </c>
      <c r="D41" t="s">
        <v>14</v>
      </c>
      <c r="E41" t="s">
        <v>19</v>
      </c>
      <c r="F41" t="s">
        <v>22</v>
      </c>
      <c r="G41">
        <v>72</v>
      </c>
      <c r="I41" s="3" t="str">
        <f t="shared" si="3"/>
        <v/>
      </c>
      <c r="J41" t="str">
        <f t="shared" si="4"/>
        <v>Open</v>
      </c>
      <c r="K41" t="s">
        <v>45</v>
      </c>
      <c r="L41" s="4">
        <f t="shared" si="5"/>
        <v>45901</v>
      </c>
    </row>
    <row r="42" spans="1:12" x14ac:dyDescent="0.45">
      <c r="A42" t="s">
        <v>79</v>
      </c>
      <c r="B42" s="2">
        <v>45661.755335648151</v>
      </c>
      <c r="C42" t="s">
        <v>13</v>
      </c>
      <c r="D42" t="s">
        <v>38</v>
      </c>
      <c r="E42" t="s">
        <v>15</v>
      </c>
      <c r="F42" t="s">
        <v>16</v>
      </c>
      <c r="G42">
        <v>24</v>
      </c>
      <c r="H42" s="2">
        <v>45662.447983898237</v>
      </c>
      <c r="I42" s="3">
        <f t="shared" si="3"/>
        <v>16.623558002058417</v>
      </c>
      <c r="J42" t="str">
        <f t="shared" si="4"/>
        <v>Met</v>
      </c>
      <c r="K42" t="s">
        <v>29</v>
      </c>
      <c r="L42" s="4">
        <f t="shared" si="5"/>
        <v>45658</v>
      </c>
    </row>
    <row r="43" spans="1:12" x14ac:dyDescent="0.45">
      <c r="A43" t="s">
        <v>80</v>
      </c>
      <c r="B43" s="2">
        <v>45824.912604166668</v>
      </c>
      <c r="C43" t="s">
        <v>31</v>
      </c>
      <c r="D43" t="s">
        <v>25</v>
      </c>
      <c r="E43" t="s">
        <v>15</v>
      </c>
      <c r="F43" t="s">
        <v>26</v>
      </c>
      <c r="G43">
        <v>4</v>
      </c>
      <c r="H43" s="2">
        <v>45825.06027963075</v>
      </c>
      <c r="I43" s="3">
        <f t="shared" si="3"/>
        <v>3.5442111379816197</v>
      </c>
      <c r="J43" t="str">
        <f t="shared" si="4"/>
        <v>Met</v>
      </c>
      <c r="K43" t="s">
        <v>45</v>
      </c>
      <c r="L43" s="4">
        <f t="shared" si="5"/>
        <v>45809</v>
      </c>
    </row>
    <row r="44" spans="1:12" x14ac:dyDescent="0.45">
      <c r="A44" t="s">
        <v>81</v>
      </c>
      <c r="B44" s="2">
        <v>45917.011238425926</v>
      </c>
      <c r="C44" t="s">
        <v>51</v>
      </c>
      <c r="D44" t="s">
        <v>25</v>
      </c>
      <c r="E44" t="s">
        <v>19</v>
      </c>
      <c r="F44" t="s">
        <v>16</v>
      </c>
      <c r="G44">
        <v>72</v>
      </c>
      <c r="H44" s="2">
        <v>45919.627974242983</v>
      </c>
      <c r="I44" s="3">
        <f t="shared" si="3"/>
        <v>62.801659609365743</v>
      </c>
      <c r="J44" t="str">
        <f t="shared" si="4"/>
        <v>Met</v>
      </c>
      <c r="K44" t="s">
        <v>17</v>
      </c>
      <c r="L44" s="4">
        <f t="shared" si="5"/>
        <v>45901</v>
      </c>
    </row>
    <row r="45" spans="1:12" x14ac:dyDescent="0.45">
      <c r="A45" t="s">
        <v>82</v>
      </c>
      <c r="B45" s="2">
        <v>45993.779548611114</v>
      </c>
      <c r="C45" t="s">
        <v>13</v>
      </c>
      <c r="D45" t="s">
        <v>21</v>
      </c>
      <c r="E45" t="s">
        <v>44</v>
      </c>
      <c r="F45" t="s">
        <v>16</v>
      </c>
      <c r="G45">
        <v>24</v>
      </c>
      <c r="H45" s="2">
        <v>45993.994207315511</v>
      </c>
      <c r="I45" s="3">
        <f t="shared" si="3"/>
        <v>5.1518089055316523</v>
      </c>
      <c r="J45" t="str">
        <f t="shared" si="4"/>
        <v>Met</v>
      </c>
      <c r="K45" t="s">
        <v>17</v>
      </c>
      <c r="L45" s="4">
        <f t="shared" si="5"/>
        <v>45992</v>
      </c>
    </row>
    <row r="46" spans="1:12" x14ac:dyDescent="0.45">
      <c r="A46" t="s">
        <v>83</v>
      </c>
      <c r="B46" s="2">
        <v>45969.557222222233</v>
      </c>
      <c r="C46" t="s">
        <v>47</v>
      </c>
      <c r="D46" t="s">
        <v>25</v>
      </c>
      <c r="E46" t="s">
        <v>15</v>
      </c>
      <c r="F46" t="s">
        <v>16</v>
      </c>
      <c r="G46">
        <v>8</v>
      </c>
      <c r="H46" s="2">
        <v>45969.650820733637</v>
      </c>
      <c r="I46" s="3">
        <f t="shared" si="3"/>
        <v>2.2463642737129703</v>
      </c>
      <c r="J46" t="str">
        <f t="shared" si="4"/>
        <v>Met</v>
      </c>
      <c r="K46" t="s">
        <v>53</v>
      </c>
      <c r="L46" s="4">
        <f t="shared" si="5"/>
        <v>45962</v>
      </c>
    </row>
    <row r="47" spans="1:12" x14ac:dyDescent="0.45">
      <c r="A47" t="s">
        <v>84</v>
      </c>
      <c r="B47" s="2">
        <v>45744.384687500002</v>
      </c>
      <c r="C47" t="s">
        <v>13</v>
      </c>
      <c r="D47" t="s">
        <v>35</v>
      </c>
      <c r="E47" t="s">
        <v>44</v>
      </c>
      <c r="F47" t="s">
        <v>26</v>
      </c>
      <c r="G47">
        <v>24</v>
      </c>
      <c r="H47" s="2">
        <v>45744.759869834743</v>
      </c>
      <c r="I47" s="3">
        <f t="shared" si="3"/>
        <v>9.0043760337866843</v>
      </c>
      <c r="J47" t="str">
        <f t="shared" si="4"/>
        <v>Met</v>
      </c>
      <c r="K47" t="s">
        <v>60</v>
      </c>
      <c r="L47" s="4">
        <f t="shared" si="5"/>
        <v>45717</v>
      </c>
    </row>
    <row r="48" spans="1:12" x14ac:dyDescent="0.45">
      <c r="A48" t="s">
        <v>85</v>
      </c>
      <c r="B48" s="2">
        <v>45812.748831018522</v>
      </c>
      <c r="C48" t="s">
        <v>51</v>
      </c>
      <c r="D48" t="s">
        <v>21</v>
      </c>
      <c r="E48" t="s">
        <v>19</v>
      </c>
      <c r="F48" t="s">
        <v>16</v>
      </c>
      <c r="G48">
        <v>72</v>
      </c>
      <c r="H48" s="2">
        <v>45815.596451618811</v>
      </c>
      <c r="I48" s="3">
        <f t="shared" si="3"/>
        <v>68.342894406931009</v>
      </c>
      <c r="J48" t="str">
        <f t="shared" si="4"/>
        <v>Met</v>
      </c>
      <c r="K48" t="s">
        <v>17</v>
      </c>
      <c r="L48" s="4">
        <f t="shared" si="5"/>
        <v>45809</v>
      </c>
    </row>
    <row r="49" spans="1:12" x14ac:dyDescent="0.45">
      <c r="A49" t="s">
        <v>86</v>
      </c>
      <c r="B49" s="2">
        <v>45786.605844907397</v>
      </c>
      <c r="C49" t="s">
        <v>13</v>
      </c>
      <c r="D49" t="s">
        <v>35</v>
      </c>
      <c r="E49" t="s">
        <v>15</v>
      </c>
      <c r="F49" t="s">
        <v>22</v>
      </c>
      <c r="G49">
        <v>24</v>
      </c>
      <c r="I49" s="3" t="str">
        <f t="shared" si="3"/>
        <v/>
      </c>
      <c r="J49" t="str">
        <f t="shared" si="4"/>
        <v>Open</v>
      </c>
      <c r="K49" t="s">
        <v>29</v>
      </c>
      <c r="L49" s="4">
        <f t="shared" si="5"/>
        <v>45778</v>
      </c>
    </row>
    <row r="50" spans="1:12" x14ac:dyDescent="0.45">
      <c r="A50" t="s">
        <v>87</v>
      </c>
      <c r="B50" s="2">
        <v>45672.857615740737</v>
      </c>
      <c r="C50" t="s">
        <v>51</v>
      </c>
      <c r="D50" t="s">
        <v>25</v>
      </c>
      <c r="E50" t="s">
        <v>19</v>
      </c>
      <c r="F50" t="s">
        <v>16</v>
      </c>
      <c r="G50">
        <v>72</v>
      </c>
      <c r="H50" s="2">
        <v>45675.040256459957</v>
      </c>
      <c r="I50" s="3">
        <f t="shared" si="3"/>
        <v>52.383377261285204</v>
      </c>
      <c r="J50" t="str">
        <f t="shared" si="4"/>
        <v>Met</v>
      </c>
      <c r="K50" t="s">
        <v>23</v>
      </c>
      <c r="L50" s="4">
        <f t="shared" si="5"/>
        <v>45658</v>
      </c>
    </row>
    <row r="51" spans="1:12" x14ac:dyDescent="0.45">
      <c r="A51" t="s">
        <v>88</v>
      </c>
      <c r="B51" s="2">
        <v>45731.81927083333</v>
      </c>
      <c r="C51" t="s">
        <v>13</v>
      </c>
      <c r="D51" t="s">
        <v>38</v>
      </c>
      <c r="E51" t="s">
        <v>19</v>
      </c>
      <c r="F51" t="s">
        <v>26</v>
      </c>
      <c r="G51">
        <v>24</v>
      </c>
      <c r="H51" s="2">
        <v>45731.87084372207</v>
      </c>
      <c r="I51" s="3">
        <f t="shared" si="3"/>
        <v>1.2377493297681212</v>
      </c>
      <c r="J51" t="str">
        <f t="shared" si="4"/>
        <v>Met</v>
      </c>
      <c r="K51" t="s">
        <v>32</v>
      </c>
      <c r="L51" s="4">
        <f t="shared" si="5"/>
        <v>45717</v>
      </c>
    </row>
    <row r="52" spans="1:12" x14ac:dyDescent="0.45">
      <c r="A52" t="s">
        <v>89</v>
      </c>
      <c r="B52" s="2">
        <v>45799.449583333328</v>
      </c>
      <c r="C52" t="s">
        <v>13</v>
      </c>
      <c r="D52" t="s">
        <v>48</v>
      </c>
      <c r="E52" t="s">
        <v>44</v>
      </c>
      <c r="F52" t="s">
        <v>16</v>
      </c>
      <c r="G52">
        <v>24</v>
      </c>
      <c r="H52" s="2">
        <v>45800.355900229617</v>
      </c>
      <c r="I52" s="3">
        <f t="shared" si="3"/>
        <v>21.751605510944501</v>
      </c>
      <c r="J52" t="str">
        <f t="shared" si="4"/>
        <v>Met</v>
      </c>
      <c r="K52" t="s">
        <v>17</v>
      </c>
      <c r="L52" s="4">
        <f t="shared" si="5"/>
        <v>45778</v>
      </c>
    </row>
    <row r="53" spans="1:12" x14ac:dyDescent="0.45">
      <c r="A53" t="s">
        <v>90</v>
      </c>
      <c r="B53" s="2">
        <v>45854.946840277778</v>
      </c>
      <c r="C53" t="s">
        <v>13</v>
      </c>
      <c r="D53" t="s">
        <v>14</v>
      </c>
      <c r="E53" t="s">
        <v>15</v>
      </c>
      <c r="F53" t="s">
        <v>16</v>
      </c>
      <c r="G53">
        <v>24</v>
      </c>
      <c r="H53" s="2">
        <v>45855.371072637747</v>
      </c>
      <c r="I53" s="3">
        <f t="shared" si="3"/>
        <v>10.181576639239211</v>
      </c>
      <c r="J53" t="str">
        <f t="shared" si="4"/>
        <v>Met</v>
      </c>
      <c r="K53" t="s">
        <v>23</v>
      </c>
      <c r="L53" s="4">
        <f t="shared" si="5"/>
        <v>45839</v>
      </c>
    </row>
    <row r="54" spans="1:12" x14ac:dyDescent="0.45">
      <c r="A54" t="s">
        <v>91</v>
      </c>
      <c r="B54" s="2">
        <v>45921.044189814813</v>
      </c>
      <c r="C54" t="s">
        <v>47</v>
      </c>
      <c r="D54" t="s">
        <v>35</v>
      </c>
      <c r="E54" t="s">
        <v>15</v>
      </c>
      <c r="F54" t="s">
        <v>16</v>
      </c>
      <c r="G54">
        <v>8</v>
      </c>
      <c r="H54" s="2">
        <v>45921.726167880151</v>
      </c>
      <c r="I54" s="3">
        <f t="shared" si="3"/>
        <v>16.367473568127025</v>
      </c>
      <c r="J54" t="str">
        <f t="shared" si="4"/>
        <v>Breached</v>
      </c>
      <c r="K54" t="s">
        <v>53</v>
      </c>
      <c r="L54" s="4">
        <f t="shared" si="5"/>
        <v>45901</v>
      </c>
    </row>
    <row r="55" spans="1:12" x14ac:dyDescent="0.45">
      <c r="A55" t="s">
        <v>92</v>
      </c>
      <c r="B55" s="2">
        <v>45963.158460648148</v>
      </c>
      <c r="C55" t="s">
        <v>51</v>
      </c>
      <c r="D55" t="s">
        <v>25</v>
      </c>
      <c r="E55" t="s">
        <v>19</v>
      </c>
      <c r="F55" t="s">
        <v>16</v>
      </c>
      <c r="G55">
        <v>72</v>
      </c>
      <c r="H55" s="2">
        <v>45964.605777698933</v>
      </c>
      <c r="I55" s="3">
        <f t="shared" si="3"/>
        <v>34.735609218827449</v>
      </c>
      <c r="J55" t="str">
        <f t="shared" si="4"/>
        <v>Met</v>
      </c>
      <c r="K55" t="s">
        <v>53</v>
      </c>
      <c r="L55" s="4">
        <f t="shared" si="5"/>
        <v>45962</v>
      </c>
    </row>
    <row r="56" spans="1:12" x14ac:dyDescent="0.45">
      <c r="A56" t="s">
        <v>93</v>
      </c>
      <c r="B56" s="2">
        <v>45913.872245370367</v>
      </c>
      <c r="C56" t="s">
        <v>47</v>
      </c>
      <c r="D56" t="s">
        <v>35</v>
      </c>
      <c r="E56" t="s">
        <v>15</v>
      </c>
      <c r="F56" t="s">
        <v>16</v>
      </c>
      <c r="G56">
        <v>8</v>
      </c>
      <c r="H56" s="2">
        <v>45914.085123702323</v>
      </c>
      <c r="I56" s="3">
        <f t="shared" si="3"/>
        <v>5.1090799669618718</v>
      </c>
      <c r="J56" t="str">
        <f t="shared" si="4"/>
        <v>Met</v>
      </c>
      <c r="K56" t="s">
        <v>45</v>
      </c>
      <c r="L56" s="4">
        <f t="shared" si="5"/>
        <v>45901</v>
      </c>
    </row>
    <row r="57" spans="1:12" x14ac:dyDescent="0.45">
      <c r="A57" t="s">
        <v>94</v>
      </c>
      <c r="B57" s="2">
        <v>45971.237951388888</v>
      </c>
      <c r="C57" t="s">
        <v>51</v>
      </c>
      <c r="D57" t="s">
        <v>21</v>
      </c>
      <c r="E57" t="s">
        <v>15</v>
      </c>
      <c r="F57" t="s">
        <v>16</v>
      </c>
      <c r="G57">
        <v>72</v>
      </c>
      <c r="H57" s="2">
        <v>45975.673374745304</v>
      </c>
      <c r="I57" s="3">
        <f t="shared" si="3"/>
        <v>106.45016055396991</v>
      </c>
      <c r="J57" t="str">
        <f t="shared" si="4"/>
        <v>Breached</v>
      </c>
      <c r="K57" t="s">
        <v>17</v>
      </c>
      <c r="L57" s="4">
        <f t="shared" si="5"/>
        <v>45962</v>
      </c>
    </row>
    <row r="58" spans="1:12" x14ac:dyDescent="0.45">
      <c r="A58" t="s">
        <v>95</v>
      </c>
      <c r="B58" s="2">
        <v>45733.511145833327</v>
      </c>
      <c r="C58" t="s">
        <v>51</v>
      </c>
      <c r="D58" t="s">
        <v>14</v>
      </c>
      <c r="E58" t="s">
        <v>19</v>
      </c>
      <c r="F58" t="s">
        <v>16</v>
      </c>
      <c r="G58">
        <v>72</v>
      </c>
      <c r="H58" s="2">
        <v>45734.77617732076</v>
      </c>
      <c r="I58" s="3">
        <f t="shared" si="3"/>
        <v>30.360755698406138</v>
      </c>
      <c r="J58" t="str">
        <f t="shared" si="4"/>
        <v>Met</v>
      </c>
      <c r="K58" t="s">
        <v>32</v>
      </c>
      <c r="L58" s="4">
        <f t="shared" si="5"/>
        <v>45717</v>
      </c>
    </row>
    <row r="59" spans="1:12" x14ac:dyDescent="0.45">
      <c r="A59" t="s">
        <v>96</v>
      </c>
      <c r="B59" s="2">
        <v>45726.307604166657</v>
      </c>
      <c r="C59" t="s">
        <v>13</v>
      </c>
      <c r="D59" t="s">
        <v>14</v>
      </c>
      <c r="E59" t="s">
        <v>15</v>
      </c>
      <c r="F59" t="s">
        <v>28</v>
      </c>
      <c r="G59">
        <v>24</v>
      </c>
      <c r="I59" s="3" t="str">
        <f t="shared" si="3"/>
        <v/>
      </c>
      <c r="J59" t="str">
        <f t="shared" si="4"/>
        <v>Open</v>
      </c>
      <c r="K59" t="s">
        <v>17</v>
      </c>
      <c r="L59" s="4">
        <f t="shared" si="5"/>
        <v>45717</v>
      </c>
    </row>
    <row r="60" spans="1:12" x14ac:dyDescent="0.45">
      <c r="A60" t="s">
        <v>97</v>
      </c>
      <c r="B60" s="2">
        <v>45835.272187499999</v>
      </c>
      <c r="C60" t="s">
        <v>31</v>
      </c>
      <c r="D60" t="s">
        <v>21</v>
      </c>
      <c r="E60" t="s">
        <v>44</v>
      </c>
      <c r="F60" t="s">
        <v>16</v>
      </c>
      <c r="G60">
        <v>4</v>
      </c>
      <c r="H60" s="2">
        <v>45835.362846275639</v>
      </c>
      <c r="I60" s="3">
        <f t="shared" si="3"/>
        <v>2.1758106153574772</v>
      </c>
      <c r="J60" t="str">
        <f t="shared" si="4"/>
        <v>Met</v>
      </c>
      <c r="K60" t="s">
        <v>49</v>
      </c>
      <c r="L60" s="4">
        <f t="shared" si="5"/>
        <v>45809</v>
      </c>
    </row>
    <row r="61" spans="1:12" x14ac:dyDescent="0.45">
      <c r="A61" t="s">
        <v>98</v>
      </c>
      <c r="B61" s="2">
        <v>45823.729664351849</v>
      </c>
      <c r="C61" t="s">
        <v>13</v>
      </c>
      <c r="D61" t="s">
        <v>35</v>
      </c>
      <c r="E61" t="s">
        <v>15</v>
      </c>
      <c r="F61" t="s">
        <v>28</v>
      </c>
      <c r="G61">
        <v>24</v>
      </c>
      <c r="I61" s="3" t="str">
        <f t="shared" si="3"/>
        <v/>
      </c>
      <c r="J61" t="str">
        <f t="shared" si="4"/>
        <v>Open</v>
      </c>
      <c r="K61" t="s">
        <v>29</v>
      </c>
      <c r="L61" s="4">
        <f t="shared" si="5"/>
        <v>45809</v>
      </c>
    </row>
    <row r="62" spans="1:12" x14ac:dyDescent="0.45">
      <c r="A62" t="s">
        <v>99</v>
      </c>
      <c r="B62" s="2">
        <v>45758.660011574073</v>
      </c>
      <c r="C62" t="s">
        <v>51</v>
      </c>
      <c r="D62" t="s">
        <v>48</v>
      </c>
      <c r="E62" t="s">
        <v>15</v>
      </c>
      <c r="F62" t="s">
        <v>26</v>
      </c>
      <c r="G62">
        <v>72</v>
      </c>
      <c r="H62" s="2">
        <v>45759.583710249302</v>
      </c>
      <c r="I62" s="3">
        <f t="shared" si="3"/>
        <v>22.16876820550533</v>
      </c>
      <c r="J62" t="str">
        <f t="shared" si="4"/>
        <v>Met</v>
      </c>
      <c r="K62" t="s">
        <v>60</v>
      </c>
      <c r="L62" s="4">
        <f t="shared" si="5"/>
        <v>45748</v>
      </c>
    </row>
    <row r="63" spans="1:12" x14ac:dyDescent="0.45">
      <c r="A63" t="s">
        <v>100</v>
      </c>
      <c r="B63" s="2">
        <v>45935.113333333327</v>
      </c>
      <c r="C63" t="s">
        <v>13</v>
      </c>
      <c r="D63" t="s">
        <v>21</v>
      </c>
      <c r="E63" t="s">
        <v>19</v>
      </c>
      <c r="F63" t="s">
        <v>16</v>
      </c>
      <c r="G63">
        <v>24</v>
      </c>
      <c r="H63" s="2">
        <v>45935.46066323197</v>
      </c>
      <c r="I63" s="3">
        <f t="shared" si="3"/>
        <v>8.3359175674268045</v>
      </c>
      <c r="J63" t="str">
        <f t="shared" si="4"/>
        <v>Met</v>
      </c>
      <c r="K63" t="s">
        <v>49</v>
      </c>
      <c r="L63" s="4">
        <f t="shared" si="5"/>
        <v>45931</v>
      </c>
    </row>
    <row r="64" spans="1:12" x14ac:dyDescent="0.45">
      <c r="A64" t="s">
        <v>101</v>
      </c>
      <c r="B64" s="2">
        <v>45932.345983796287</v>
      </c>
      <c r="C64" t="s">
        <v>47</v>
      </c>
      <c r="D64" t="s">
        <v>21</v>
      </c>
      <c r="E64" t="s">
        <v>19</v>
      </c>
      <c r="F64" t="s">
        <v>16</v>
      </c>
      <c r="G64">
        <v>8</v>
      </c>
      <c r="H64" s="2">
        <v>45932.465223694191</v>
      </c>
      <c r="I64" s="3">
        <f t="shared" si="3"/>
        <v>2.8617575496900827</v>
      </c>
      <c r="J64" t="str">
        <f t="shared" si="4"/>
        <v>Met</v>
      </c>
      <c r="K64" t="s">
        <v>45</v>
      </c>
      <c r="L64" s="4">
        <f t="shared" si="5"/>
        <v>45931</v>
      </c>
    </row>
    <row r="65" spans="1:12" x14ac:dyDescent="0.45">
      <c r="A65" t="s">
        <v>102</v>
      </c>
      <c r="B65" s="2">
        <v>45928.114328703698</v>
      </c>
      <c r="C65" t="s">
        <v>31</v>
      </c>
      <c r="D65" t="s">
        <v>35</v>
      </c>
      <c r="E65" t="s">
        <v>19</v>
      </c>
      <c r="F65" t="s">
        <v>16</v>
      </c>
      <c r="G65">
        <v>4</v>
      </c>
      <c r="H65" s="2">
        <v>45928.211894040789</v>
      </c>
      <c r="I65" s="3">
        <f t="shared" si="3"/>
        <v>2.3415680901962332</v>
      </c>
      <c r="J65" t="str">
        <f t="shared" si="4"/>
        <v>Met</v>
      </c>
      <c r="K65" t="s">
        <v>32</v>
      </c>
      <c r="L65" s="4">
        <f t="shared" si="5"/>
        <v>45901</v>
      </c>
    </row>
    <row r="66" spans="1:12" x14ac:dyDescent="0.45">
      <c r="A66" t="s">
        <v>103</v>
      </c>
      <c r="B66" s="2">
        <v>45867.024131944447</v>
      </c>
      <c r="C66" t="s">
        <v>51</v>
      </c>
      <c r="D66" t="s">
        <v>25</v>
      </c>
      <c r="E66" t="s">
        <v>15</v>
      </c>
      <c r="F66" t="s">
        <v>16</v>
      </c>
      <c r="G66">
        <v>72</v>
      </c>
      <c r="H66" s="2">
        <v>45868.857206667592</v>
      </c>
      <c r="I66" s="3">
        <f t="shared" ref="I66:I97" si="6">IF(H66="","",(H66-B66)*24)</f>
        <v>43.993793355475646</v>
      </c>
      <c r="J66" t="str">
        <f t="shared" ref="J66:J97" si="7">IF(H66="","Open",IF(I66&lt;=G66,"Met","Breached"))</f>
        <v>Met</v>
      </c>
      <c r="K66" t="s">
        <v>53</v>
      </c>
      <c r="L66" s="4">
        <f t="shared" ref="L66:L97" si="8">DATE(YEAR(B66),MONTH(B66),1)</f>
        <v>45839</v>
      </c>
    </row>
    <row r="67" spans="1:12" x14ac:dyDescent="0.45">
      <c r="A67" t="s">
        <v>104</v>
      </c>
      <c r="B67" s="2">
        <v>45788.539756944447</v>
      </c>
      <c r="C67" t="s">
        <v>47</v>
      </c>
      <c r="D67" t="s">
        <v>35</v>
      </c>
      <c r="E67" t="s">
        <v>19</v>
      </c>
      <c r="F67" t="s">
        <v>26</v>
      </c>
      <c r="G67">
        <v>8</v>
      </c>
      <c r="H67" s="2">
        <v>45788.780919838173</v>
      </c>
      <c r="I67" s="3">
        <f t="shared" si="6"/>
        <v>5.7879094494273886</v>
      </c>
      <c r="J67" t="str">
        <f t="shared" si="7"/>
        <v>Met</v>
      </c>
      <c r="K67" t="s">
        <v>53</v>
      </c>
      <c r="L67" s="4">
        <f t="shared" si="8"/>
        <v>45778</v>
      </c>
    </row>
    <row r="68" spans="1:12" x14ac:dyDescent="0.45">
      <c r="A68" t="s">
        <v>105</v>
      </c>
      <c r="B68" s="2">
        <v>45887.868344907409</v>
      </c>
      <c r="C68" t="s">
        <v>51</v>
      </c>
      <c r="D68" t="s">
        <v>38</v>
      </c>
      <c r="E68" t="s">
        <v>19</v>
      </c>
      <c r="F68" t="s">
        <v>16</v>
      </c>
      <c r="G68">
        <v>72</v>
      </c>
      <c r="H68" s="2">
        <v>45894.392780559458</v>
      </c>
      <c r="I68" s="3">
        <f t="shared" si="6"/>
        <v>156.58645564917242</v>
      </c>
      <c r="J68" t="str">
        <f t="shared" si="7"/>
        <v>Breached</v>
      </c>
      <c r="K68" t="s">
        <v>53</v>
      </c>
      <c r="L68" s="4">
        <f t="shared" si="8"/>
        <v>45870</v>
      </c>
    </row>
    <row r="69" spans="1:12" x14ac:dyDescent="0.45">
      <c r="A69" t="s">
        <v>106</v>
      </c>
      <c r="B69" s="2">
        <v>45740.200694444437</v>
      </c>
      <c r="C69" t="s">
        <v>13</v>
      </c>
      <c r="D69" t="s">
        <v>14</v>
      </c>
      <c r="E69" t="s">
        <v>19</v>
      </c>
      <c r="F69" t="s">
        <v>16</v>
      </c>
      <c r="G69">
        <v>24</v>
      </c>
      <c r="H69" s="2">
        <v>45741.068759631416</v>
      </c>
      <c r="I69" s="3">
        <f t="shared" si="6"/>
        <v>20.833564487518743</v>
      </c>
      <c r="J69" t="str">
        <f t="shared" si="7"/>
        <v>Met</v>
      </c>
      <c r="K69" t="s">
        <v>36</v>
      </c>
      <c r="L69" s="4">
        <f t="shared" si="8"/>
        <v>45717</v>
      </c>
    </row>
    <row r="70" spans="1:12" x14ac:dyDescent="0.45">
      <c r="A70" t="s">
        <v>107</v>
      </c>
      <c r="B70" s="2">
        <v>45840.649050925917</v>
      </c>
      <c r="C70" t="s">
        <v>51</v>
      </c>
      <c r="D70" t="s">
        <v>35</v>
      </c>
      <c r="E70" t="s">
        <v>19</v>
      </c>
      <c r="F70" t="s">
        <v>16</v>
      </c>
      <c r="G70">
        <v>72</v>
      </c>
      <c r="H70" s="2">
        <v>45843.588793767463</v>
      </c>
      <c r="I70" s="3">
        <f t="shared" si="6"/>
        <v>70.553828197123948</v>
      </c>
      <c r="J70" t="str">
        <f t="shared" si="7"/>
        <v>Met</v>
      </c>
      <c r="K70" t="s">
        <v>49</v>
      </c>
      <c r="L70" s="4">
        <f t="shared" si="8"/>
        <v>45839</v>
      </c>
    </row>
    <row r="71" spans="1:12" x14ac:dyDescent="0.45">
      <c r="A71" t="s">
        <v>108</v>
      </c>
      <c r="B71" s="2">
        <v>45754.035300925927</v>
      </c>
      <c r="C71" t="s">
        <v>13</v>
      </c>
      <c r="D71" t="s">
        <v>48</v>
      </c>
      <c r="E71" t="s">
        <v>19</v>
      </c>
      <c r="F71" t="s">
        <v>16</v>
      </c>
      <c r="G71">
        <v>24</v>
      </c>
      <c r="H71" s="2">
        <v>45755.35197003105</v>
      </c>
      <c r="I71" s="3">
        <f t="shared" si="6"/>
        <v>31.60005852294853</v>
      </c>
      <c r="J71" t="str">
        <f t="shared" si="7"/>
        <v>Breached</v>
      </c>
      <c r="K71" t="s">
        <v>40</v>
      </c>
      <c r="L71" s="4">
        <f t="shared" si="8"/>
        <v>45748</v>
      </c>
    </row>
    <row r="72" spans="1:12" x14ac:dyDescent="0.45">
      <c r="A72" t="s">
        <v>109</v>
      </c>
      <c r="B72" s="2">
        <v>45929.645243055558</v>
      </c>
      <c r="C72" t="s">
        <v>13</v>
      </c>
      <c r="D72" t="s">
        <v>38</v>
      </c>
      <c r="E72" t="s">
        <v>44</v>
      </c>
      <c r="F72" t="s">
        <v>26</v>
      </c>
      <c r="G72">
        <v>24</v>
      </c>
      <c r="H72" s="2">
        <v>45930.258723259642</v>
      </c>
      <c r="I72" s="3">
        <f t="shared" si="6"/>
        <v>14.723524897999596</v>
      </c>
      <c r="J72" t="str">
        <f t="shared" si="7"/>
        <v>Met</v>
      </c>
      <c r="K72" t="s">
        <v>60</v>
      </c>
      <c r="L72" s="4">
        <f t="shared" si="8"/>
        <v>45901</v>
      </c>
    </row>
    <row r="73" spans="1:12" x14ac:dyDescent="0.45">
      <c r="A73" t="s">
        <v>110</v>
      </c>
      <c r="B73" s="2">
        <v>45882.738854166673</v>
      </c>
      <c r="C73" t="s">
        <v>13</v>
      </c>
      <c r="D73" t="s">
        <v>21</v>
      </c>
      <c r="E73" t="s">
        <v>44</v>
      </c>
      <c r="F73" t="s">
        <v>26</v>
      </c>
      <c r="G73">
        <v>24</v>
      </c>
      <c r="H73" s="2">
        <v>45883.418787143441</v>
      </c>
      <c r="I73" s="3">
        <f t="shared" si="6"/>
        <v>16.318391442415304</v>
      </c>
      <c r="J73" t="str">
        <f t="shared" si="7"/>
        <v>Met</v>
      </c>
      <c r="K73" t="s">
        <v>49</v>
      </c>
      <c r="L73" s="4">
        <f t="shared" si="8"/>
        <v>45870</v>
      </c>
    </row>
    <row r="74" spans="1:12" x14ac:dyDescent="0.45">
      <c r="A74" t="s">
        <v>111</v>
      </c>
      <c r="B74" s="2">
        <v>45926.208032407398</v>
      </c>
      <c r="C74" t="s">
        <v>13</v>
      </c>
      <c r="D74" t="s">
        <v>48</v>
      </c>
      <c r="E74" t="s">
        <v>19</v>
      </c>
      <c r="F74" t="s">
        <v>22</v>
      </c>
      <c r="G74">
        <v>24</v>
      </c>
      <c r="I74" s="3" t="str">
        <f t="shared" si="6"/>
        <v/>
      </c>
      <c r="J74" t="str">
        <f t="shared" si="7"/>
        <v>Open</v>
      </c>
      <c r="K74" t="s">
        <v>32</v>
      </c>
      <c r="L74" s="4">
        <f t="shared" si="8"/>
        <v>45901</v>
      </c>
    </row>
    <row r="75" spans="1:12" x14ac:dyDescent="0.45">
      <c r="A75" t="s">
        <v>112</v>
      </c>
      <c r="B75" s="2">
        <v>45970.836030092592</v>
      </c>
      <c r="C75" t="s">
        <v>47</v>
      </c>
      <c r="D75" t="s">
        <v>25</v>
      </c>
      <c r="E75" t="s">
        <v>15</v>
      </c>
      <c r="F75" t="s">
        <v>16</v>
      </c>
      <c r="G75">
        <v>8</v>
      </c>
      <c r="H75" s="2">
        <v>45971.095313716629</v>
      </c>
      <c r="I75" s="3">
        <f t="shared" si="6"/>
        <v>6.2228069768752903</v>
      </c>
      <c r="J75" t="str">
        <f t="shared" si="7"/>
        <v>Met</v>
      </c>
      <c r="K75" t="s">
        <v>32</v>
      </c>
      <c r="L75" s="4">
        <f t="shared" si="8"/>
        <v>45962</v>
      </c>
    </row>
    <row r="76" spans="1:12" x14ac:dyDescent="0.45">
      <c r="A76" t="s">
        <v>113</v>
      </c>
      <c r="B76" s="2">
        <v>45662.913599537038</v>
      </c>
      <c r="C76" t="s">
        <v>13</v>
      </c>
      <c r="D76" t="s">
        <v>25</v>
      </c>
      <c r="E76" t="s">
        <v>19</v>
      </c>
      <c r="F76" t="s">
        <v>28</v>
      </c>
      <c r="G76">
        <v>24</v>
      </c>
      <c r="I76" s="3" t="str">
        <f t="shared" si="6"/>
        <v/>
      </c>
      <c r="J76" t="str">
        <f t="shared" si="7"/>
        <v>Open</v>
      </c>
      <c r="K76" t="s">
        <v>36</v>
      </c>
      <c r="L76" s="4">
        <f t="shared" si="8"/>
        <v>45658</v>
      </c>
    </row>
    <row r="77" spans="1:12" x14ac:dyDescent="0.45">
      <c r="A77" t="s">
        <v>114</v>
      </c>
      <c r="B77" s="2">
        <v>45932.691423611112</v>
      </c>
      <c r="C77" t="s">
        <v>47</v>
      </c>
      <c r="D77" t="s">
        <v>25</v>
      </c>
      <c r="E77" t="s">
        <v>15</v>
      </c>
      <c r="F77" t="s">
        <v>26</v>
      </c>
      <c r="G77">
        <v>8</v>
      </c>
      <c r="H77" s="2">
        <v>45933.34577588016</v>
      </c>
      <c r="I77" s="3">
        <f t="shared" si="6"/>
        <v>15.704454457154498</v>
      </c>
      <c r="J77" t="str">
        <f t="shared" si="7"/>
        <v>Breached</v>
      </c>
      <c r="K77" t="s">
        <v>60</v>
      </c>
      <c r="L77" s="4">
        <f t="shared" si="8"/>
        <v>45931</v>
      </c>
    </row>
    <row r="78" spans="1:12" x14ac:dyDescent="0.45">
      <c r="A78" t="s">
        <v>115</v>
      </c>
      <c r="B78" s="2">
        <v>45827.16034722222</v>
      </c>
      <c r="C78" t="s">
        <v>13</v>
      </c>
      <c r="D78" t="s">
        <v>38</v>
      </c>
      <c r="E78" t="s">
        <v>15</v>
      </c>
      <c r="F78" t="s">
        <v>28</v>
      </c>
      <c r="G78">
        <v>24</v>
      </c>
      <c r="I78" s="3" t="str">
        <f t="shared" si="6"/>
        <v/>
      </c>
      <c r="J78" t="str">
        <f t="shared" si="7"/>
        <v>Open</v>
      </c>
      <c r="K78" t="s">
        <v>60</v>
      </c>
      <c r="L78" s="4">
        <f t="shared" si="8"/>
        <v>45809</v>
      </c>
    </row>
    <row r="79" spans="1:12" x14ac:dyDescent="0.45">
      <c r="A79" t="s">
        <v>116</v>
      </c>
      <c r="B79" s="2">
        <v>45766.324976851851</v>
      </c>
      <c r="C79" t="s">
        <v>13</v>
      </c>
      <c r="D79" t="s">
        <v>21</v>
      </c>
      <c r="E79" t="s">
        <v>15</v>
      </c>
      <c r="F79" t="s">
        <v>22</v>
      </c>
      <c r="G79">
        <v>24</v>
      </c>
      <c r="I79" s="3" t="str">
        <f t="shared" si="6"/>
        <v/>
      </c>
      <c r="J79" t="str">
        <f t="shared" si="7"/>
        <v>Open</v>
      </c>
      <c r="K79" t="s">
        <v>49</v>
      </c>
      <c r="L79" s="4">
        <f t="shared" si="8"/>
        <v>45748</v>
      </c>
    </row>
    <row r="80" spans="1:12" x14ac:dyDescent="0.45">
      <c r="A80" t="s">
        <v>117</v>
      </c>
      <c r="B80" s="2">
        <v>45788.643483796302</v>
      </c>
      <c r="C80" t="s">
        <v>51</v>
      </c>
      <c r="D80" t="s">
        <v>38</v>
      </c>
      <c r="E80" t="s">
        <v>15</v>
      </c>
      <c r="F80" t="s">
        <v>16</v>
      </c>
      <c r="G80">
        <v>72</v>
      </c>
      <c r="H80" s="2">
        <v>45789.300816997769</v>
      </c>
      <c r="I80" s="3">
        <f t="shared" si="6"/>
        <v>15.775996835203841</v>
      </c>
      <c r="J80" t="str">
        <f t="shared" si="7"/>
        <v>Met</v>
      </c>
      <c r="K80" t="s">
        <v>53</v>
      </c>
      <c r="L80" s="4">
        <f t="shared" si="8"/>
        <v>45778</v>
      </c>
    </row>
    <row r="81" spans="1:12" x14ac:dyDescent="0.45">
      <c r="A81" t="s">
        <v>118</v>
      </c>
      <c r="B81" s="2">
        <v>45930.312754629631</v>
      </c>
      <c r="C81" t="s">
        <v>51</v>
      </c>
      <c r="D81" t="s">
        <v>25</v>
      </c>
      <c r="E81" t="s">
        <v>19</v>
      </c>
      <c r="F81" t="s">
        <v>22</v>
      </c>
      <c r="G81">
        <v>72</v>
      </c>
      <c r="I81" s="3" t="str">
        <f t="shared" si="6"/>
        <v/>
      </c>
      <c r="J81" t="str">
        <f t="shared" si="7"/>
        <v>Open</v>
      </c>
      <c r="K81" t="s">
        <v>32</v>
      </c>
      <c r="L81" s="4">
        <f t="shared" si="8"/>
        <v>45901</v>
      </c>
    </row>
    <row r="82" spans="1:12" x14ac:dyDescent="0.45">
      <c r="A82" t="s">
        <v>119</v>
      </c>
      <c r="B82" s="2">
        <v>45847.744814814818</v>
      </c>
      <c r="C82" t="s">
        <v>13</v>
      </c>
      <c r="D82" t="s">
        <v>21</v>
      </c>
      <c r="E82" t="s">
        <v>19</v>
      </c>
      <c r="F82" t="s">
        <v>26</v>
      </c>
      <c r="G82">
        <v>24</v>
      </c>
      <c r="H82" s="2">
        <v>45848.237581407848</v>
      </c>
      <c r="I82" s="3">
        <f t="shared" si="6"/>
        <v>11.82639823271893</v>
      </c>
      <c r="J82" t="str">
        <f t="shared" si="7"/>
        <v>Met</v>
      </c>
      <c r="K82" t="s">
        <v>53</v>
      </c>
      <c r="L82" s="4">
        <f t="shared" si="8"/>
        <v>45839</v>
      </c>
    </row>
    <row r="83" spans="1:12" x14ac:dyDescent="0.45">
      <c r="A83" t="s">
        <v>120</v>
      </c>
      <c r="B83" s="2">
        <v>45815.053819444453</v>
      </c>
      <c r="C83" t="s">
        <v>13</v>
      </c>
      <c r="D83" t="s">
        <v>14</v>
      </c>
      <c r="E83" t="s">
        <v>19</v>
      </c>
      <c r="F83" t="s">
        <v>16</v>
      </c>
      <c r="G83">
        <v>24</v>
      </c>
      <c r="H83" s="2">
        <v>45815.644666138811</v>
      </c>
      <c r="I83" s="3">
        <f t="shared" si="6"/>
        <v>14.180320664600004</v>
      </c>
      <c r="J83" t="str">
        <f t="shared" si="7"/>
        <v>Met</v>
      </c>
      <c r="K83" t="s">
        <v>17</v>
      </c>
      <c r="L83" s="4">
        <f t="shared" si="8"/>
        <v>45809</v>
      </c>
    </row>
    <row r="84" spans="1:12" x14ac:dyDescent="0.45">
      <c r="A84" t="s">
        <v>121</v>
      </c>
      <c r="B84" s="2">
        <v>45786.466597222221</v>
      </c>
      <c r="C84" t="s">
        <v>13</v>
      </c>
      <c r="D84" t="s">
        <v>35</v>
      </c>
      <c r="E84" t="s">
        <v>44</v>
      </c>
      <c r="F84" t="s">
        <v>16</v>
      </c>
      <c r="G84">
        <v>24</v>
      </c>
      <c r="H84" s="2">
        <v>45786.801756604182</v>
      </c>
      <c r="I84" s="3">
        <f t="shared" si="6"/>
        <v>8.0438251670566387</v>
      </c>
      <c r="J84" t="str">
        <f t="shared" si="7"/>
        <v>Met</v>
      </c>
      <c r="K84" t="s">
        <v>29</v>
      </c>
      <c r="L84" s="4">
        <f t="shared" si="8"/>
        <v>45778</v>
      </c>
    </row>
    <row r="85" spans="1:12" x14ac:dyDescent="0.45">
      <c r="A85" t="s">
        <v>122</v>
      </c>
      <c r="B85" s="2">
        <v>45954.00508101852</v>
      </c>
      <c r="C85" t="s">
        <v>13</v>
      </c>
      <c r="D85" t="s">
        <v>25</v>
      </c>
      <c r="E85" t="s">
        <v>19</v>
      </c>
      <c r="F85" t="s">
        <v>16</v>
      </c>
      <c r="G85">
        <v>24</v>
      </c>
      <c r="H85" s="2">
        <v>45954.741983346277</v>
      </c>
      <c r="I85" s="3">
        <f t="shared" si="6"/>
        <v>17.685655866167508</v>
      </c>
      <c r="J85" t="str">
        <f t="shared" si="7"/>
        <v>Met</v>
      </c>
      <c r="K85" t="s">
        <v>29</v>
      </c>
      <c r="L85" s="4">
        <f t="shared" si="8"/>
        <v>45931</v>
      </c>
    </row>
    <row r="86" spans="1:12" x14ac:dyDescent="0.45">
      <c r="A86" t="s">
        <v>123</v>
      </c>
      <c r="B86" s="2">
        <v>45981.360775462963</v>
      </c>
      <c r="C86" t="s">
        <v>13</v>
      </c>
      <c r="D86" t="s">
        <v>38</v>
      </c>
      <c r="E86" t="s">
        <v>15</v>
      </c>
      <c r="F86" t="s">
        <v>16</v>
      </c>
      <c r="G86">
        <v>24</v>
      </c>
      <c r="H86" s="2">
        <v>45981.577656098591</v>
      </c>
      <c r="I86" s="3">
        <f t="shared" si="6"/>
        <v>5.205135255062487</v>
      </c>
      <c r="J86" t="str">
        <f t="shared" si="7"/>
        <v>Met</v>
      </c>
      <c r="K86" t="s">
        <v>49</v>
      </c>
      <c r="L86" s="4">
        <f t="shared" si="8"/>
        <v>45962</v>
      </c>
    </row>
    <row r="87" spans="1:12" x14ac:dyDescent="0.45">
      <c r="A87" t="s">
        <v>124</v>
      </c>
      <c r="B87" s="2">
        <v>45872.903298611112</v>
      </c>
      <c r="C87" t="s">
        <v>13</v>
      </c>
      <c r="D87" t="s">
        <v>25</v>
      </c>
      <c r="E87" t="s">
        <v>19</v>
      </c>
      <c r="F87" t="s">
        <v>26</v>
      </c>
      <c r="G87">
        <v>24</v>
      </c>
      <c r="H87" s="2">
        <v>45873.546517390358</v>
      </c>
      <c r="I87" s="3">
        <f t="shared" si="6"/>
        <v>15.437250701885205</v>
      </c>
      <c r="J87" t="str">
        <f t="shared" si="7"/>
        <v>Met</v>
      </c>
      <c r="K87" t="s">
        <v>40</v>
      </c>
      <c r="L87" s="4">
        <f t="shared" si="8"/>
        <v>45870</v>
      </c>
    </row>
    <row r="88" spans="1:12" x14ac:dyDescent="0.45">
      <c r="A88" t="s">
        <v>125</v>
      </c>
      <c r="B88" s="2">
        <v>45843.914155092592</v>
      </c>
      <c r="C88" t="s">
        <v>47</v>
      </c>
      <c r="D88" t="s">
        <v>14</v>
      </c>
      <c r="E88" t="s">
        <v>15</v>
      </c>
      <c r="F88" t="s">
        <v>26</v>
      </c>
      <c r="G88">
        <v>8</v>
      </c>
      <c r="H88" s="2">
        <v>45844.29412484428</v>
      </c>
      <c r="I88" s="3">
        <f t="shared" si="6"/>
        <v>9.119274040509481</v>
      </c>
      <c r="J88" t="str">
        <f t="shared" si="7"/>
        <v>Breached</v>
      </c>
      <c r="K88" t="s">
        <v>60</v>
      </c>
      <c r="L88" s="4">
        <f t="shared" si="8"/>
        <v>45839</v>
      </c>
    </row>
    <row r="89" spans="1:12" x14ac:dyDescent="0.45">
      <c r="A89" t="s">
        <v>126</v>
      </c>
      <c r="B89" s="2">
        <v>45882.092789351853</v>
      </c>
      <c r="C89" t="s">
        <v>13</v>
      </c>
      <c r="D89" t="s">
        <v>14</v>
      </c>
      <c r="E89" t="s">
        <v>19</v>
      </c>
      <c r="F89" t="s">
        <v>16</v>
      </c>
      <c r="G89">
        <v>24</v>
      </c>
      <c r="H89" s="2">
        <v>45883.403885124673</v>
      </c>
      <c r="I89" s="3">
        <f t="shared" si="6"/>
        <v>31.466298547689803</v>
      </c>
      <c r="J89" t="str">
        <f t="shared" si="7"/>
        <v>Breached</v>
      </c>
      <c r="K89" t="s">
        <v>49</v>
      </c>
      <c r="L89" s="4">
        <f t="shared" si="8"/>
        <v>45870</v>
      </c>
    </row>
    <row r="90" spans="1:12" x14ac:dyDescent="0.45">
      <c r="A90" t="s">
        <v>127</v>
      </c>
      <c r="B90" s="2">
        <v>45893.470416666663</v>
      </c>
      <c r="C90" t="s">
        <v>13</v>
      </c>
      <c r="D90" t="s">
        <v>21</v>
      </c>
      <c r="E90" t="s">
        <v>19</v>
      </c>
      <c r="F90" t="s">
        <v>16</v>
      </c>
      <c r="G90">
        <v>24</v>
      </c>
      <c r="H90" s="2">
        <v>45894.24181165859</v>
      </c>
      <c r="I90" s="3">
        <f t="shared" si="6"/>
        <v>18.513479806249961</v>
      </c>
      <c r="J90" t="str">
        <f t="shared" si="7"/>
        <v>Met</v>
      </c>
      <c r="K90" t="s">
        <v>53</v>
      </c>
      <c r="L90" s="4">
        <f t="shared" si="8"/>
        <v>45870</v>
      </c>
    </row>
    <row r="91" spans="1:12" x14ac:dyDescent="0.45">
      <c r="A91" t="s">
        <v>128</v>
      </c>
      <c r="B91" s="2">
        <v>45776.597916666673</v>
      </c>
      <c r="C91" t="s">
        <v>51</v>
      </c>
      <c r="D91" t="s">
        <v>25</v>
      </c>
      <c r="E91" t="s">
        <v>15</v>
      </c>
      <c r="F91" t="s">
        <v>16</v>
      </c>
      <c r="G91">
        <v>72</v>
      </c>
      <c r="H91" s="2">
        <v>45784.788487748192</v>
      </c>
      <c r="I91" s="3">
        <f t="shared" si="6"/>
        <v>196.57370595645625</v>
      </c>
      <c r="J91" t="str">
        <f t="shared" si="7"/>
        <v>Breached</v>
      </c>
      <c r="K91" t="s">
        <v>53</v>
      </c>
      <c r="L91" s="4">
        <f t="shared" si="8"/>
        <v>45748</v>
      </c>
    </row>
    <row r="92" spans="1:12" x14ac:dyDescent="0.45">
      <c r="A92" t="s">
        <v>129</v>
      </c>
      <c r="B92" s="2">
        <v>45718.99491898148</v>
      </c>
      <c r="C92" t="s">
        <v>51</v>
      </c>
      <c r="D92" t="s">
        <v>48</v>
      </c>
      <c r="E92" t="s">
        <v>19</v>
      </c>
      <c r="F92" t="s">
        <v>16</v>
      </c>
      <c r="G92">
        <v>72</v>
      </c>
      <c r="H92" s="2">
        <v>45719.581644978563</v>
      </c>
      <c r="I92" s="3">
        <f t="shared" si="6"/>
        <v>14.081423930008896</v>
      </c>
      <c r="J92" t="str">
        <f t="shared" si="7"/>
        <v>Met</v>
      </c>
      <c r="K92" t="s">
        <v>49</v>
      </c>
      <c r="L92" s="4">
        <f t="shared" si="8"/>
        <v>45717</v>
      </c>
    </row>
    <row r="93" spans="1:12" x14ac:dyDescent="0.45">
      <c r="A93" t="s">
        <v>130</v>
      </c>
      <c r="B93" s="2">
        <v>45769.888831018521</v>
      </c>
      <c r="C93" t="s">
        <v>13</v>
      </c>
      <c r="D93" t="s">
        <v>35</v>
      </c>
      <c r="E93" t="s">
        <v>19</v>
      </c>
      <c r="F93" t="s">
        <v>26</v>
      </c>
      <c r="G93">
        <v>24</v>
      </c>
      <c r="H93" s="2">
        <v>45770.36108015207</v>
      </c>
      <c r="I93" s="3">
        <f t="shared" si="6"/>
        <v>11.333979205170181</v>
      </c>
      <c r="J93" t="str">
        <f t="shared" si="7"/>
        <v>Met</v>
      </c>
      <c r="K93" t="s">
        <v>17</v>
      </c>
      <c r="L93" s="4">
        <f t="shared" si="8"/>
        <v>45748</v>
      </c>
    </row>
    <row r="94" spans="1:12" x14ac:dyDescent="0.45">
      <c r="A94" t="s">
        <v>131</v>
      </c>
      <c r="B94" s="2">
        <v>45823.107592592591</v>
      </c>
      <c r="C94" t="s">
        <v>51</v>
      </c>
      <c r="D94" t="s">
        <v>48</v>
      </c>
      <c r="E94" t="s">
        <v>15</v>
      </c>
      <c r="F94" t="s">
        <v>16</v>
      </c>
      <c r="G94">
        <v>72</v>
      </c>
      <c r="H94" s="2">
        <v>45823.673273021603</v>
      </c>
      <c r="I94" s="3">
        <f t="shared" si="6"/>
        <v>13.576330296287779</v>
      </c>
      <c r="J94" t="str">
        <f t="shared" si="7"/>
        <v>Met</v>
      </c>
      <c r="K94" t="s">
        <v>17</v>
      </c>
      <c r="L94" s="4">
        <f t="shared" si="8"/>
        <v>45809</v>
      </c>
    </row>
    <row r="95" spans="1:12" x14ac:dyDescent="0.45">
      <c r="A95" t="s">
        <v>132</v>
      </c>
      <c r="B95" s="2">
        <v>45889.092175925929</v>
      </c>
      <c r="C95" t="s">
        <v>47</v>
      </c>
      <c r="D95" t="s">
        <v>14</v>
      </c>
      <c r="E95" t="s">
        <v>19</v>
      </c>
      <c r="F95" t="s">
        <v>16</v>
      </c>
      <c r="G95">
        <v>8</v>
      </c>
      <c r="H95" s="2">
        <v>45889.198311874963</v>
      </c>
      <c r="I95" s="3">
        <f t="shared" si="6"/>
        <v>2.5472627768176608</v>
      </c>
      <c r="J95" t="str">
        <f t="shared" si="7"/>
        <v>Met</v>
      </c>
      <c r="K95" t="s">
        <v>23</v>
      </c>
      <c r="L95" s="4">
        <f t="shared" si="8"/>
        <v>45870</v>
      </c>
    </row>
    <row r="96" spans="1:12" x14ac:dyDescent="0.45">
      <c r="A96" t="s">
        <v>133</v>
      </c>
      <c r="B96" s="2">
        <v>45852.364108796297</v>
      </c>
      <c r="C96" t="s">
        <v>13</v>
      </c>
      <c r="D96" t="s">
        <v>48</v>
      </c>
      <c r="E96" t="s">
        <v>19</v>
      </c>
      <c r="F96" t="s">
        <v>26</v>
      </c>
      <c r="G96">
        <v>24</v>
      </c>
      <c r="H96" s="2">
        <v>45852.970282891991</v>
      </c>
      <c r="I96" s="3">
        <f t="shared" si="6"/>
        <v>14.548178296652623</v>
      </c>
      <c r="J96" t="str">
        <f t="shared" si="7"/>
        <v>Met</v>
      </c>
      <c r="K96" t="s">
        <v>23</v>
      </c>
      <c r="L96" s="4">
        <f t="shared" si="8"/>
        <v>45839</v>
      </c>
    </row>
    <row r="97" spans="1:12" x14ac:dyDescent="0.45">
      <c r="A97" t="s">
        <v>134</v>
      </c>
      <c r="B97" s="2">
        <v>45746.905416666668</v>
      </c>
      <c r="C97" t="s">
        <v>13</v>
      </c>
      <c r="D97" t="s">
        <v>38</v>
      </c>
      <c r="E97" t="s">
        <v>19</v>
      </c>
      <c r="F97" t="s">
        <v>22</v>
      </c>
      <c r="G97">
        <v>24</v>
      </c>
      <c r="I97" s="3" t="str">
        <f t="shared" si="6"/>
        <v/>
      </c>
      <c r="J97" t="str">
        <f t="shared" si="7"/>
        <v>Open</v>
      </c>
      <c r="K97" t="s">
        <v>49</v>
      </c>
      <c r="L97" s="4">
        <f t="shared" si="8"/>
        <v>45717</v>
      </c>
    </row>
    <row r="98" spans="1:12" x14ac:dyDescent="0.45">
      <c r="A98" t="s">
        <v>135</v>
      </c>
      <c r="B98" s="2">
        <v>45673.624421296299</v>
      </c>
      <c r="C98" t="s">
        <v>51</v>
      </c>
      <c r="D98" t="s">
        <v>48</v>
      </c>
      <c r="E98" t="s">
        <v>15</v>
      </c>
      <c r="F98" t="s">
        <v>16</v>
      </c>
      <c r="G98">
        <v>72</v>
      </c>
      <c r="H98" s="2">
        <v>45675.222330412653</v>
      </c>
      <c r="I98" s="3">
        <f t="shared" ref="I98:I129" si="9">IF(H98="","",(H98-B98)*24)</f>
        <v>38.349818792485166</v>
      </c>
      <c r="J98" t="str">
        <f t="shared" ref="J98:J129" si="10">IF(H98="","Open",IF(I98&lt;=G98,"Met","Breached"))</f>
        <v>Met</v>
      </c>
      <c r="K98" t="s">
        <v>32</v>
      </c>
      <c r="L98" s="4">
        <f t="shared" ref="L98:L129" si="11">DATE(YEAR(B98),MONTH(B98),1)</f>
        <v>45658</v>
      </c>
    </row>
    <row r="99" spans="1:12" x14ac:dyDescent="0.45">
      <c r="A99" t="s">
        <v>136</v>
      </c>
      <c r="B99" s="2">
        <v>45693.435034722221</v>
      </c>
      <c r="C99" t="s">
        <v>47</v>
      </c>
      <c r="D99" t="s">
        <v>38</v>
      </c>
      <c r="E99" t="s">
        <v>19</v>
      </c>
      <c r="F99" t="s">
        <v>16</v>
      </c>
      <c r="G99">
        <v>8</v>
      </c>
      <c r="H99" s="2">
        <v>45693.55122944824</v>
      </c>
      <c r="I99" s="3">
        <f t="shared" si="9"/>
        <v>2.7886734244530089</v>
      </c>
      <c r="J99" t="str">
        <f t="shared" si="10"/>
        <v>Met</v>
      </c>
      <c r="K99" t="s">
        <v>60</v>
      </c>
      <c r="L99" s="4">
        <f t="shared" si="11"/>
        <v>45689</v>
      </c>
    </row>
    <row r="100" spans="1:12" x14ac:dyDescent="0.45">
      <c r="A100" t="s">
        <v>137</v>
      </c>
      <c r="B100" s="2">
        <v>45915.321921296287</v>
      </c>
      <c r="C100" t="s">
        <v>47</v>
      </c>
      <c r="D100" t="s">
        <v>35</v>
      </c>
      <c r="E100" t="s">
        <v>15</v>
      </c>
      <c r="F100" t="s">
        <v>22</v>
      </c>
      <c r="G100">
        <v>8</v>
      </c>
      <c r="I100" s="3" t="str">
        <f t="shared" si="9"/>
        <v/>
      </c>
      <c r="J100" t="str">
        <f t="shared" si="10"/>
        <v>Open</v>
      </c>
      <c r="K100" t="s">
        <v>23</v>
      </c>
      <c r="L100" s="4">
        <f t="shared" si="11"/>
        <v>45901</v>
      </c>
    </row>
    <row r="101" spans="1:12" x14ac:dyDescent="0.45">
      <c r="A101" t="s">
        <v>138</v>
      </c>
      <c r="B101" s="2">
        <v>45958.02784722222</v>
      </c>
      <c r="C101" t="s">
        <v>13</v>
      </c>
      <c r="D101" t="s">
        <v>25</v>
      </c>
      <c r="E101" t="s">
        <v>19</v>
      </c>
      <c r="F101" t="s">
        <v>26</v>
      </c>
      <c r="G101">
        <v>24</v>
      </c>
      <c r="H101" s="2">
        <v>45958.996798091968</v>
      </c>
      <c r="I101" s="3">
        <f t="shared" si="9"/>
        <v>23.254820873960853</v>
      </c>
      <c r="J101" t="str">
        <f t="shared" si="10"/>
        <v>Met</v>
      </c>
      <c r="K101" t="s">
        <v>49</v>
      </c>
      <c r="L101" s="4">
        <f t="shared" si="11"/>
        <v>45931</v>
      </c>
    </row>
    <row r="102" spans="1:12" x14ac:dyDescent="0.45">
      <c r="A102" t="s">
        <v>139</v>
      </c>
      <c r="B102" s="2">
        <v>45798.501157407409</v>
      </c>
      <c r="C102" t="s">
        <v>13</v>
      </c>
      <c r="D102" t="s">
        <v>35</v>
      </c>
      <c r="E102" t="s">
        <v>19</v>
      </c>
      <c r="F102" t="s">
        <v>16</v>
      </c>
      <c r="G102">
        <v>24</v>
      </c>
      <c r="H102" s="2">
        <v>45798.962255496233</v>
      </c>
      <c r="I102" s="3">
        <f t="shared" si="9"/>
        <v>11.066354131791741</v>
      </c>
      <c r="J102" t="str">
        <f t="shared" si="10"/>
        <v>Met</v>
      </c>
      <c r="K102" t="s">
        <v>29</v>
      </c>
      <c r="L102" s="4">
        <f t="shared" si="11"/>
        <v>45778</v>
      </c>
    </row>
    <row r="103" spans="1:12" x14ac:dyDescent="0.45">
      <c r="A103" t="s">
        <v>140</v>
      </c>
      <c r="B103" s="2">
        <v>46000.086886574078</v>
      </c>
      <c r="C103" t="s">
        <v>47</v>
      </c>
      <c r="D103" t="s">
        <v>21</v>
      </c>
      <c r="E103" t="s">
        <v>44</v>
      </c>
      <c r="F103" t="s">
        <v>16</v>
      </c>
      <c r="G103">
        <v>8</v>
      </c>
      <c r="H103" s="2">
        <v>46001.004555549967</v>
      </c>
      <c r="I103" s="3">
        <f t="shared" si="9"/>
        <v>22.024055421352386</v>
      </c>
      <c r="J103" t="str">
        <f t="shared" si="10"/>
        <v>Breached</v>
      </c>
      <c r="K103" t="s">
        <v>60</v>
      </c>
      <c r="L103" s="4">
        <f t="shared" si="11"/>
        <v>45992</v>
      </c>
    </row>
    <row r="104" spans="1:12" x14ac:dyDescent="0.45">
      <c r="A104" t="s">
        <v>141</v>
      </c>
      <c r="B104" s="2">
        <v>45872.473171296297</v>
      </c>
      <c r="C104" t="s">
        <v>47</v>
      </c>
      <c r="D104" t="s">
        <v>21</v>
      </c>
      <c r="E104" t="s">
        <v>19</v>
      </c>
      <c r="F104" t="s">
        <v>16</v>
      </c>
      <c r="G104">
        <v>8</v>
      </c>
      <c r="H104" s="2">
        <v>45872.750673724258</v>
      </c>
      <c r="I104" s="3">
        <f t="shared" si="9"/>
        <v>6.6600582710816525</v>
      </c>
      <c r="J104" t="str">
        <f t="shared" si="10"/>
        <v>Met</v>
      </c>
      <c r="K104" t="s">
        <v>40</v>
      </c>
      <c r="L104" s="4">
        <f t="shared" si="11"/>
        <v>45870</v>
      </c>
    </row>
    <row r="105" spans="1:12" x14ac:dyDescent="0.45">
      <c r="A105" t="s">
        <v>142</v>
      </c>
      <c r="B105" s="2">
        <v>46020.206516203703</v>
      </c>
      <c r="C105" t="s">
        <v>51</v>
      </c>
      <c r="D105" t="s">
        <v>48</v>
      </c>
      <c r="E105" t="s">
        <v>15</v>
      </c>
      <c r="F105" t="s">
        <v>16</v>
      </c>
      <c r="G105">
        <v>72</v>
      </c>
      <c r="H105" s="2">
        <v>46021.018932227082</v>
      </c>
      <c r="I105" s="3">
        <f t="shared" si="9"/>
        <v>19.497984561079647</v>
      </c>
      <c r="J105" t="str">
        <f t="shared" si="10"/>
        <v>Met</v>
      </c>
      <c r="K105" t="s">
        <v>60</v>
      </c>
      <c r="L105" s="4">
        <f t="shared" si="11"/>
        <v>45992</v>
      </c>
    </row>
    <row r="106" spans="1:12" x14ac:dyDescent="0.45">
      <c r="A106" t="s">
        <v>143</v>
      </c>
      <c r="B106" s="2">
        <v>45855.381180555552</v>
      </c>
      <c r="C106" t="s">
        <v>13</v>
      </c>
      <c r="D106" t="s">
        <v>35</v>
      </c>
      <c r="E106" t="s">
        <v>19</v>
      </c>
      <c r="F106" t="s">
        <v>26</v>
      </c>
      <c r="G106">
        <v>24</v>
      </c>
      <c r="H106" s="2">
        <v>45856.553348194859</v>
      </c>
      <c r="I106" s="3">
        <f t="shared" si="9"/>
        <v>28.132023343350738</v>
      </c>
      <c r="J106" t="str">
        <f t="shared" si="10"/>
        <v>Breached</v>
      </c>
      <c r="K106" t="s">
        <v>32</v>
      </c>
      <c r="L106" s="4">
        <f t="shared" si="11"/>
        <v>45839</v>
      </c>
    </row>
    <row r="107" spans="1:12" x14ac:dyDescent="0.45">
      <c r="A107" t="s">
        <v>144</v>
      </c>
      <c r="B107" s="2">
        <v>45761.759560185194</v>
      </c>
      <c r="C107" t="s">
        <v>51</v>
      </c>
      <c r="D107" t="s">
        <v>25</v>
      </c>
      <c r="E107" t="s">
        <v>44</v>
      </c>
      <c r="F107" t="s">
        <v>28</v>
      </c>
      <c r="G107">
        <v>72</v>
      </c>
      <c r="I107" s="3" t="str">
        <f t="shared" si="9"/>
        <v/>
      </c>
      <c r="J107" t="str">
        <f t="shared" si="10"/>
        <v>Open</v>
      </c>
      <c r="K107" t="s">
        <v>29</v>
      </c>
      <c r="L107" s="4">
        <f t="shared" si="11"/>
        <v>45748</v>
      </c>
    </row>
    <row r="108" spans="1:12" x14ac:dyDescent="0.45">
      <c r="A108" t="s">
        <v>145</v>
      </c>
      <c r="B108" s="2">
        <v>45994.033877314818</v>
      </c>
      <c r="C108" t="s">
        <v>13</v>
      </c>
      <c r="D108" t="s">
        <v>38</v>
      </c>
      <c r="E108" t="s">
        <v>15</v>
      </c>
      <c r="F108" t="s">
        <v>16</v>
      </c>
      <c r="G108">
        <v>24</v>
      </c>
      <c r="H108" s="2">
        <v>45994.404842580589</v>
      </c>
      <c r="I108" s="3">
        <f t="shared" si="9"/>
        <v>8.9031663784990087</v>
      </c>
      <c r="J108" t="str">
        <f t="shared" si="10"/>
        <v>Met</v>
      </c>
      <c r="K108" t="s">
        <v>60</v>
      </c>
      <c r="L108" s="4">
        <f t="shared" si="11"/>
        <v>45992</v>
      </c>
    </row>
    <row r="109" spans="1:12" x14ac:dyDescent="0.45">
      <c r="A109" t="s">
        <v>146</v>
      </c>
      <c r="B109" s="2">
        <v>45928.881516203714</v>
      </c>
      <c r="C109" t="s">
        <v>13</v>
      </c>
      <c r="D109" t="s">
        <v>35</v>
      </c>
      <c r="E109" t="s">
        <v>44</v>
      </c>
      <c r="F109" t="s">
        <v>16</v>
      </c>
      <c r="G109">
        <v>24</v>
      </c>
      <c r="H109" s="2">
        <v>45929.72760827138</v>
      </c>
      <c r="I109" s="3">
        <f t="shared" si="9"/>
        <v>20.306209623988252</v>
      </c>
      <c r="J109" t="str">
        <f t="shared" si="10"/>
        <v>Met</v>
      </c>
      <c r="K109" t="s">
        <v>17</v>
      </c>
      <c r="L109" s="4">
        <f t="shared" si="11"/>
        <v>45901</v>
      </c>
    </row>
    <row r="110" spans="1:12" x14ac:dyDescent="0.45">
      <c r="A110" t="s">
        <v>147</v>
      </c>
      <c r="B110" s="2">
        <v>45807.938113425917</v>
      </c>
      <c r="C110" t="s">
        <v>13</v>
      </c>
      <c r="D110" t="s">
        <v>35</v>
      </c>
      <c r="E110" t="s">
        <v>15</v>
      </c>
      <c r="F110" t="s">
        <v>22</v>
      </c>
      <c r="G110">
        <v>24</v>
      </c>
      <c r="I110" s="3" t="str">
        <f t="shared" si="9"/>
        <v/>
      </c>
      <c r="J110" t="str">
        <f t="shared" si="10"/>
        <v>Open</v>
      </c>
      <c r="K110" t="s">
        <v>53</v>
      </c>
      <c r="L110" s="4">
        <f t="shared" si="11"/>
        <v>45778</v>
      </c>
    </row>
    <row r="111" spans="1:12" x14ac:dyDescent="0.45">
      <c r="A111" t="s">
        <v>148</v>
      </c>
      <c r="B111" s="2">
        <v>45786.933946759258</v>
      </c>
      <c r="C111" t="s">
        <v>13</v>
      </c>
      <c r="D111" t="s">
        <v>14</v>
      </c>
      <c r="E111" t="s">
        <v>19</v>
      </c>
      <c r="F111" t="s">
        <v>28</v>
      </c>
      <c r="G111">
        <v>24</v>
      </c>
      <c r="I111" s="3" t="str">
        <f t="shared" si="9"/>
        <v/>
      </c>
      <c r="J111" t="str">
        <f t="shared" si="10"/>
        <v>Open</v>
      </c>
      <c r="K111" t="s">
        <v>32</v>
      </c>
      <c r="L111" s="4">
        <f t="shared" si="11"/>
        <v>45778</v>
      </c>
    </row>
    <row r="112" spans="1:12" x14ac:dyDescent="0.45">
      <c r="A112" t="s">
        <v>149</v>
      </c>
      <c r="B112" s="2">
        <v>45817.219895833332</v>
      </c>
      <c r="C112" t="s">
        <v>47</v>
      </c>
      <c r="D112" t="s">
        <v>35</v>
      </c>
      <c r="E112" t="s">
        <v>19</v>
      </c>
      <c r="F112" t="s">
        <v>22</v>
      </c>
      <c r="G112">
        <v>8</v>
      </c>
      <c r="I112" s="3" t="str">
        <f t="shared" si="9"/>
        <v/>
      </c>
      <c r="J112" t="str">
        <f t="shared" si="10"/>
        <v>Open</v>
      </c>
      <c r="K112" t="s">
        <v>45</v>
      </c>
      <c r="L112" s="4">
        <f t="shared" si="11"/>
        <v>45809</v>
      </c>
    </row>
    <row r="113" spans="1:12" x14ac:dyDescent="0.45">
      <c r="A113" t="s">
        <v>150</v>
      </c>
      <c r="B113" s="2">
        <v>45910.371516203697</v>
      </c>
      <c r="C113" t="s">
        <v>31</v>
      </c>
      <c r="D113" t="s">
        <v>25</v>
      </c>
      <c r="E113" t="s">
        <v>19</v>
      </c>
      <c r="F113" t="s">
        <v>16</v>
      </c>
      <c r="G113">
        <v>4</v>
      </c>
      <c r="H113" s="2">
        <v>45910.484374948777</v>
      </c>
      <c r="I113" s="3">
        <f t="shared" si="9"/>
        <v>2.7086098819272593</v>
      </c>
      <c r="J113" t="str">
        <f t="shared" si="10"/>
        <v>Met</v>
      </c>
      <c r="K113" t="s">
        <v>53</v>
      </c>
      <c r="L113" s="4">
        <f t="shared" si="11"/>
        <v>45901</v>
      </c>
    </row>
    <row r="114" spans="1:12" x14ac:dyDescent="0.45">
      <c r="A114" t="s">
        <v>151</v>
      </c>
      <c r="B114" s="2">
        <v>45996.799953703703</v>
      </c>
      <c r="C114" t="s">
        <v>51</v>
      </c>
      <c r="D114" t="s">
        <v>48</v>
      </c>
      <c r="E114" t="s">
        <v>15</v>
      </c>
      <c r="F114" t="s">
        <v>26</v>
      </c>
      <c r="G114">
        <v>72</v>
      </c>
      <c r="H114" s="2">
        <v>45997.604962681959</v>
      </c>
      <c r="I114" s="3">
        <f t="shared" si="9"/>
        <v>19.320215478132013</v>
      </c>
      <c r="J114" t="str">
        <f t="shared" si="10"/>
        <v>Met</v>
      </c>
      <c r="K114" t="s">
        <v>60</v>
      </c>
      <c r="L114" s="4">
        <f t="shared" si="11"/>
        <v>45992</v>
      </c>
    </row>
    <row r="115" spans="1:12" x14ac:dyDescent="0.45">
      <c r="A115" t="s">
        <v>152</v>
      </c>
      <c r="B115" s="2">
        <v>45696.231516203698</v>
      </c>
      <c r="C115" t="s">
        <v>47</v>
      </c>
      <c r="D115" t="s">
        <v>21</v>
      </c>
      <c r="E115" t="s">
        <v>15</v>
      </c>
      <c r="F115" t="s">
        <v>16</v>
      </c>
      <c r="G115">
        <v>8</v>
      </c>
      <c r="H115" s="2">
        <v>45696.279340114866</v>
      </c>
      <c r="I115" s="3">
        <f t="shared" si="9"/>
        <v>1.1477738680550829</v>
      </c>
      <c r="J115" t="str">
        <f t="shared" si="10"/>
        <v>Met</v>
      </c>
      <c r="K115" t="s">
        <v>53</v>
      </c>
      <c r="L115" s="4">
        <f t="shared" si="11"/>
        <v>45689</v>
      </c>
    </row>
    <row r="116" spans="1:12" x14ac:dyDescent="0.45">
      <c r="A116" t="s">
        <v>153</v>
      </c>
      <c r="B116" s="2">
        <v>45771.932743055557</v>
      </c>
      <c r="C116" t="s">
        <v>47</v>
      </c>
      <c r="D116" t="s">
        <v>14</v>
      </c>
      <c r="E116" t="s">
        <v>19</v>
      </c>
      <c r="F116" t="s">
        <v>16</v>
      </c>
      <c r="G116">
        <v>8</v>
      </c>
      <c r="H116" s="2">
        <v>45772.025110926203</v>
      </c>
      <c r="I116" s="3">
        <f t="shared" si="9"/>
        <v>2.2168288954999298</v>
      </c>
      <c r="J116" t="str">
        <f t="shared" si="10"/>
        <v>Met</v>
      </c>
      <c r="K116" t="s">
        <v>40</v>
      </c>
      <c r="L116" s="4">
        <f t="shared" si="11"/>
        <v>45748</v>
      </c>
    </row>
    <row r="117" spans="1:12" x14ac:dyDescent="0.45">
      <c r="A117" t="s">
        <v>154</v>
      </c>
      <c r="B117" s="2">
        <v>45894.703125</v>
      </c>
      <c r="C117" t="s">
        <v>13</v>
      </c>
      <c r="D117" t="s">
        <v>21</v>
      </c>
      <c r="E117" t="s">
        <v>19</v>
      </c>
      <c r="F117" t="s">
        <v>22</v>
      </c>
      <c r="G117">
        <v>24</v>
      </c>
      <c r="I117" s="3" t="str">
        <f t="shared" si="9"/>
        <v/>
      </c>
      <c r="J117" t="str">
        <f t="shared" si="10"/>
        <v>Open</v>
      </c>
      <c r="K117" t="s">
        <v>49</v>
      </c>
      <c r="L117" s="4">
        <f t="shared" si="11"/>
        <v>45870</v>
      </c>
    </row>
    <row r="118" spans="1:12" x14ac:dyDescent="0.45">
      <c r="A118" t="s">
        <v>155</v>
      </c>
      <c r="B118" s="2">
        <v>45905.737581018519</v>
      </c>
      <c r="C118" t="s">
        <v>13</v>
      </c>
      <c r="D118" t="s">
        <v>38</v>
      </c>
      <c r="E118" t="s">
        <v>19</v>
      </c>
      <c r="F118" t="s">
        <v>26</v>
      </c>
      <c r="G118">
        <v>24</v>
      </c>
      <c r="H118" s="2">
        <v>45905.796320629772</v>
      </c>
      <c r="I118" s="3">
        <f t="shared" si="9"/>
        <v>1.4097506700782105</v>
      </c>
      <c r="J118" t="str">
        <f t="shared" si="10"/>
        <v>Met</v>
      </c>
      <c r="K118" t="s">
        <v>60</v>
      </c>
      <c r="L118" s="4">
        <f t="shared" si="11"/>
        <v>45901</v>
      </c>
    </row>
    <row r="119" spans="1:12" x14ac:dyDescent="0.45">
      <c r="A119" t="s">
        <v>156</v>
      </c>
      <c r="B119" s="2">
        <v>45829.550821759258</v>
      </c>
      <c r="C119" t="s">
        <v>51</v>
      </c>
      <c r="D119" t="s">
        <v>48</v>
      </c>
      <c r="E119" t="s">
        <v>19</v>
      </c>
      <c r="F119" t="s">
        <v>28</v>
      </c>
      <c r="G119">
        <v>72</v>
      </c>
      <c r="I119" s="3" t="str">
        <f t="shared" si="9"/>
        <v/>
      </c>
      <c r="J119" t="str">
        <f t="shared" si="10"/>
        <v>Open</v>
      </c>
      <c r="K119" t="s">
        <v>49</v>
      </c>
      <c r="L119" s="4">
        <f t="shared" si="11"/>
        <v>45809</v>
      </c>
    </row>
    <row r="120" spans="1:12" x14ac:dyDescent="0.45">
      <c r="A120" t="s">
        <v>157</v>
      </c>
      <c r="B120" s="2">
        <v>45986.283483796287</v>
      </c>
      <c r="C120" t="s">
        <v>13</v>
      </c>
      <c r="D120" t="s">
        <v>35</v>
      </c>
      <c r="E120" t="s">
        <v>15</v>
      </c>
      <c r="F120" t="s">
        <v>16</v>
      </c>
      <c r="G120">
        <v>24</v>
      </c>
      <c r="H120" s="2">
        <v>45987.127085772852</v>
      </c>
      <c r="I120" s="3">
        <f t="shared" si="9"/>
        <v>20.246447437559254</v>
      </c>
      <c r="J120" t="str">
        <f t="shared" si="10"/>
        <v>Met</v>
      </c>
      <c r="K120" t="s">
        <v>60</v>
      </c>
      <c r="L120" s="4">
        <f t="shared" si="11"/>
        <v>45962</v>
      </c>
    </row>
    <row r="121" spans="1:12" x14ac:dyDescent="0.45">
      <c r="A121" t="s">
        <v>158</v>
      </c>
      <c r="B121" s="2">
        <v>45666.520486111112</v>
      </c>
      <c r="C121" t="s">
        <v>13</v>
      </c>
      <c r="D121" t="s">
        <v>25</v>
      </c>
      <c r="E121" t="s">
        <v>15</v>
      </c>
      <c r="F121" t="s">
        <v>28</v>
      </c>
      <c r="G121">
        <v>24</v>
      </c>
      <c r="I121" s="3" t="str">
        <f t="shared" si="9"/>
        <v/>
      </c>
      <c r="J121" t="str">
        <f t="shared" si="10"/>
        <v>Open</v>
      </c>
      <c r="K121" t="s">
        <v>23</v>
      </c>
      <c r="L121" s="4">
        <f t="shared" si="11"/>
        <v>45658</v>
      </c>
    </row>
    <row r="122" spans="1:12" x14ac:dyDescent="0.45">
      <c r="A122" t="s">
        <v>159</v>
      </c>
      <c r="B122" s="2">
        <v>46011.648541666669</v>
      </c>
      <c r="C122" t="s">
        <v>47</v>
      </c>
      <c r="D122" t="s">
        <v>38</v>
      </c>
      <c r="E122" t="s">
        <v>15</v>
      </c>
      <c r="F122" t="s">
        <v>16</v>
      </c>
      <c r="G122">
        <v>8</v>
      </c>
      <c r="H122" s="2">
        <v>46011.945496473512</v>
      </c>
      <c r="I122" s="3">
        <f t="shared" si="9"/>
        <v>7.1269153642351739</v>
      </c>
      <c r="J122" t="str">
        <f t="shared" si="10"/>
        <v>Met</v>
      </c>
      <c r="K122" t="s">
        <v>40</v>
      </c>
      <c r="L122" s="4">
        <f t="shared" si="11"/>
        <v>45992</v>
      </c>
    </row>
    <row r="123" spans="1:12" x14ac:dyDescent="0.45">
      <c r="A123" t="s">
        <v>160</v>
      </c>
      <c r="B123" s="2">
        <v>45905.237858796303</v>
      </c>
      <c r="C123" t="s">
        <v>51</v>
      </c>
      <c r="D123" t="s">
        <v>38</v>
      </c>
      <c r="E123" t="s">
        <v>15</v>
      </c>
      <c r="F123" t="s">
        <v>26</v>
      </c>
      <c r="G123">
        <v>72</v>
      </c>
      <c r="H123" s="2">
        <v>45907.495919529538</v>
      </c>
      <c r="I123" s="3">
        <f t="shared" si="9"/>
        <v>54.193457597633824</v>
      </c>
      <c r="J123" t="str">
        <f t="shared" si="10"/>
        <v>Met</v>
      </c>
      <c r="K123" t="s">
        <v>17</v>
      </c>
      <c r="L123" s="4">
        <f t="shared" si="11"/>
        <v>45901</v>
      </c>
    </row>
    <row r="124" spans="1:12" x14ac:dyDescent="0.45">
      <c r="A124" t="s">
        <v>161</v>
      </c>
      <c r="B124" s="2">
        <v>45777.977627314824</v>
      </c>
      <c r="C124" t="s">
        <v>13</v>
      </c>
      <c r="D124" t="s">
        <v>21</v>
      </c>
      <c r="E124" t="s">
        <v>15</v>
      </c>
      <c r="F124" t="s">
        <v>22</v>
      </c>
      <c r="G124">
        <v>24</v>
      </c>
      <c r="I124" s="3" t="str">
        <f t="shared" si="9"/>
        <v/>
      </c>
      <c r="J124" t="str">
        <f t="shared" si="10"/>
        <v>Open</v>
      </c>
      <c r="K124" t="s">
        <v>40</v>
      </c>
      <c r="L124" s="4">
        <f t="shared" si="11"/>
        <v>45748</v>
      </c>
    </row>
    <row r="125" spans="1:12" x14ac:dyDescent="0.45">
      <c r="A125" t="s">
        <v>162</v>
      </c>
      <c r="B125" s="2">
        <v>45784.885115740741</v>
      </c>
      <c r="C125" t="s">
        <v>13</v>
      </c>
      <c r="D125" t="s">
        <v>48</v>
      </c>
      <c r="E125" t="s">
        <v>19</v>
      </c>
      <c r="F125" t="s">
        <v>16</v>
      </c>
      <c r="G125">
        <v>24</v>
      </c>
      <c r="H125" s="2">
        <v>45786.166395386797</v>
      </c>
      <c r="I125" s="3">
        <f t="shared" si="9"/>
        <v>30.750711505359504</v>
      </c>
      <c r="J125" t="str">
        <f t="shared" si="10"/>
        <v>Breached</v>
      </c>
      <c r="K125" t="s">
        <v>23</v>
      </c>
      <c r="L125" s="4">
        <f t="shared" si="11"/>
        <v>45778</v>
      </c>
    </row>
    <row r="126" spans="1:12" x14ac:dyDescent="0.45">
      <c r="A126" t="s">
        <v>163</v>
      </c>
      <c r="B126" s="2">
        <v>45980.523576388892</v>
      </c>
      <c r="C126" t="s">
        <v>51</v>
      </c>
      <c r="D126" t="s">
        <v>38</v>
      </c>
      <c r="E126" t="s">
        <v>19</v>
      </c>
      <c r="F126" t="s">
        <v>26</v>
      </c>
      <c r="G126">
        <v>72</v>
      </c>
      <c r="H126" s="2">
        <v>45983.307860395798</v>
      </c>
      <c r="I126" s="3">
        <f t="shared" si="9"/>
        <v>66.82281616574619</v>
      </c>
      <c r="J126" t="str">
        <f t="shared" si="10"/>
        <v>Met</v>
      </c>
      <c r="K126" t="s">
        <v>23</v>
      </c>
      <c r="L126" s="4">
        <f t="shared" si="11"/>
        <v>45962</v>
      </c>
    </row>
    <row r="127" spans="1:12" x14ac:dyDescent="0.45">
      <c r="A127" t="s">
        <v>164</v>
      </c>
      <c r="B127" s="2">
        <v>45687.243368055562</v>
      </c>
      <c r="C127" t="s">
        <v>47</v>
      </c>
      <c r="D127" t="s">
        <v>25</v>
      </c>
      <c r="E127" t="s">
        <v>15</v>
      </c>
      <c r="F127" t="s">
        <v>26</v>
      </c>
      <c r="G127">
        <v>8</v>
      </c>
      <c r="H127" s="2">
        <v>45687.526678307258</v>
      </c>
      <c r="I127" s="3">
        <f t="shared" si="9"/>
        <v>6.7994460407062434</v>
      </c>
      <c r="J127" t="str">
        <f t="shared" si="10"/>
        <v>Met</v>
      </c>
      <c r="K127" t="s">
        <v>60</v>
      </c>
      <c r="L127" s="4">
        <f t="shared" si="11"/>
        <v>45658</v>
      </c>
    </row>
    <row r="128" spans="1:12" x14ac:dyDescent="0.45">
      <c r="A128" t="s">
        <v>165</v>
      </c>
      <c r="B128" s="2">
        <v>45663.405462962961</v>
      </c>
      <c r="C128" t="s">
        <v>51</v>
      </c>
      <c r="D128" t="s">
        <v>38</v>
      </c>
      <c r="E128" t="s">
        <v>19</v>
      </c>
      <c r="F128" t="s">
        <v>26</v>
      </c>
      <c r="G128">
        <v>72</v>
      </c>
      <c r="H128" s="2">
        <v>45668.490537670703</v>
      </c>
      <c r="I128" s="3">
        <f t="shared" si="9"/>
        <v>122.04179298580857</v>
      </c>
      <c r="J128" t="str">
        <f t="shared" si="10"/>
        <v>Breached</v>
      </c>
      <c r="K128" t="s">
        <v>53</v>
      </c>
      <c r="L128" s="4">
        <f t="shared" si="11"/>
        <v>45658</v>
      </c>
    </row>
    <row r="129" spans="1:12" x14ac:dyDescent="0.45">
      <c r="A129" t="s">
        <v>166</v>
      </c>
      <c r="B129" s="2">
        <v>45700.07744212963</v>
      </c>
      <c r="C129" t="s">
        <v>47</v>
      </c>
      <c r="D129" t="s">
        <v>35</v>
      </c>
      <c r="E129" t="s">
        <v>15</v>
      </c>
      <c r="F129" t="s">
        <v>26</v>
      </c>
      <c r="G129">
        <v>8</v>
      </c>
      <c r="H129" s="2">
        <v>45700.286168325081</v>
      </c>
      <c r="I129" s="3">
        <f t="shared" si="9"/>
        <v>5.0094286908279173</v>
      </c>
      <c r="J129" t="str">
        <f t="shared" si="10"/>
        <v>Met</v>
      </c>
      <c r="K129" t="s">
        <v>36</v>
      </c>
      <c r="L129" s="4">
        <f t="shared" si="11"/>
        <v>45689</v>
      </c>
    </row>
    <row r="130" spans="1:12" x14ac:dyDescent="0.45">
      <c r="A130" t="s">
        <v>167</v>
      </c>
      <c r="B130" s="2">
        <v>45904.766400462962</v>
      </c>
      <c r="C130" t="s">
        <v>13</v>
      </c>
      <c r="D130" t="s">
        <v>38</v>
      </c>
      <c r="E130" t="s">
        <v>19</v>
      </c>
      <c r="F130" t="s">
        <v>28</v>
      </c>
      <c r="G130">
        <v>24</v>
      </c>
      <c r="I130" s="3" t="str">
        <f t="shared" ref="I130:I161" si="12">IF(H130="","",(H130-B130)*24)</f>
        <v/>
      </c>
      <c r="J130" t="str">
        <f t="shared" ref="J130:J161" si="13">IF(H130="","Open",IF(I130&lt;=G130,"Met","Breached"))</f>
        <v>Open</v>
      </c>
      <c r="K130" t="s">
        <v>49</v>
      </c>
      <c r="L130" s="4">
        <f t="shared" ref="L130:L161" si="14">DATE(YEAR(B130),MONTH(B130),1)</f>
        <v>45901</v>
      </c>
    </row>
    <row r="131" spans="1:12" x14ac:dyDescent="0.45">
      <c r="A131" t="s">
        <v>168</v>
      </c>
      <c r="B131" s="2">
        <v>45776.203472222223</v>
      </c>
      <c r="C131" t="s">
        <v>13</v>
      </c>
      <c r="D131" t="s">
        <v>14</v>
      </c>
      <c r="E131" t="s">
        <v>19</v>
      </c>
      <c r="F131" t="s">
        <v>22</v>
      </c>
      <c r="G131">
        <v>24</v>
      </c>
      <c r="I131" s="3" t="str">
        <f t="shared" si="12"/>
        <v/>
      </c>
      <c r="J131" t="str">
        <f t="shared" si="13"/>
        <v>Open</v>
      </c>
      <c r="K131" t="s">
        <v>40</v>
      </c>
      <c r="L131" s="4">
        <f t="shared" si="14"/>
        <v>45748</v>
      </c>
    </row>
    <row r="132" spans="1:12" x14ac:dyDescent="0.45">
      <c r="A132" t="s">
        <v>169</v>
      </c>
      <c r="B132" s="2">
        <v>45802.086574074077</v>
      </c>
      <c r="C132" t="s">
        <v>47</v>
      </c>
      <c r="D132" t="s">
        <v>38</v>
      </c>
      <c r="E132" t="s">
        <v>19</v>
      </c>
      <c r="F132" t="s">
        <v>16</v>
      </c>
      <c r="G132">
        <v>8</v>
      </c>
      <c r="H132" s="2">
        <v>45802.396492707339</v>
      </c>
      <c r="I132" s="3">
        <f t="shared" si="12"/>
        <v>7.438047198287677</v>
      </c>
      <c r="J132" t="str">
        <f t="shared" si="13"/>
        <v>Met</v>
      </c>
      <c r="K132" t="s">
        <v>60</v>
      </c>
      <c r="L132" s="4">
        <f t="shared" si="14"/>
        <v>45778</v>
      </c>
    </row>
    <row r="133" spans="1:12" x14ac:dyDescent="0.45">
      <c r="A133" t="s">
        <v>170</v>
      </c>
      <c r="B133" s="2">
        <v>45981.774270833332</v>
      </c>
      <c r="C133" t="s">
        <v>13</v>
      </c>
      <c r="D133" t="s">
        <v>21</v>
      </c>
      <c r="E133" t="s">
        <v>44</v>
      </c>
      <c r="F133" t="s">
        <v>16</v>
      </c>
      <c r="G133">
        <v>24</v>
      </c>
      <c r="H133" s="2">
        <v>45982.709185851927</v>
      </c>
      <c r="I133" s="3">
        <f t="shared" si="12"/>
        <v>22.437960446288344</v>
      </c>
      <c r="J133" t="str">
        <f t="shared" si="13"/>
        <v>Met</v>
      </c>
      <c r="K133" t="s">
        <v>49</v>
      </c>
      <c r="L133" s="4">
        <f t="shared" si="14"/>
        <v>45962</v>
      </c>
    </row>
    <row r="134" spans="1:12" x14ac:dyDescent="0.45">
      <c r="A134" t="s">
        <v>171</v>
      </c>
      <c r="B134" s="2">
        <v>45990.223900462966</v>
      </c>
      <c r="C134" t="s">
        <v>13</v>
      </c>
      <c r="D134" t="s">
        <v>35</v>
      </c>
      <c r="E134" t="s">
        <v>19</v>
      </c>
      <c r="F134" t="s">
        <v>26</v>
      </c>
      <c r="G134">
        <v>24</v>
      </c>
      <c r="H134" s="2">
        <v>45990.615521974367</v>
      </c>
      <c r="I134" s="3">
        <f t="shared" si="12"/>
        <v>9.3989162736106664</v>
      </c>
      <c r="J134" t="str">
        <f t="shared" si="13"/>
        <v>Met</v>
      </c>
      <c r="K134" t="s">
        <v>17</v>
      </c>
      <c r="L134" s="4">
        <f t="shared" si="14"/>
        <v>45962</v>
      </c>
    </row>
    <row r="135" spans="1:12" x14ac:dyDescent="0.45">
      <c r="A135" t="s">
        <v>172</v>
      </c>
      <c r="B135" s="2">
        <v>45705.442118055558</v>
      </c>
      <c r="C135" t="s">
        <v>13</v>
      </c>
      <c r="D135" t="s">
        <v>14</v>
      </c>
      <c r="E135" t="s">
        <v>19</v>
      </c>
      <c r="F135" t="s">
        <v>28</v>
      </c>
      <c r="G135">
        <v>24</v>
      </c>
      <c r="I135" s="3" t="str">
        <f t="shared" si="12"/>
        <v/>
      </c>
      <c r="J135" t="str">
        <f t="shared" si="13"/>
        <v>Open</v>
      </c>
      <c r="K135" t="s">
        <v>17</v>
      </c>
      <c r="L135" s="4">
        <f t="shared" si="14"/>
        <v>45689</v>
      </c>
    </row>
    <row r="136" spans="1:12" x14ac:dyDescent="0.45">
      <c r="A136" t="s">
        <v>173</v>
      </c>
      <c r="B136" s="2">
        <v>45666.294409722221</v>
      </c>
      <c r="C136" t="s">
        <v>47</v>
      </c>
      <c r="D136" t="s">
        <v>21</v>
      </c>
      <c r="E136" t="s">
        <v>15</v>
      </c>
      <c r="F136" t="s">
        <v>26</v>
      </c>
      <c r="G136">
        <v>8</v>
      </c>
      <c r="H136" s="2">
        <v>45666.617610869107</v>
      </c>
      <c r="I136" s="3">
        <f t="shared" si="12"/>
        <v>7.7568275252706371</v>
      </c>
      <c r="J136" t="str">
        <f t="shared" si="13"/>
        <v>Met</v>
      </c>
      <c r="K136" t="s">
        <v>32</v>
      </c>
      <c r="L136" s="4">
        <f t="shared" si="14"/>
        <v>45658</v>
      </c>
    </row>
    <row r="137" spans="1:12" x14ac:dyDescent="0.45">
      <c r="A137" t="s">
        <v>174</v>
      </c>
      <c r="B137" s="2">
        <v>45973.758449074077</v>
      </c>
      <c r="C137" t="s">
        <v>47</v>
      </c>
      <c r="D137" t="s">
        <v>38</v>
      </c>
      <c r="E137" t="s">
        <v>19</v>
      </c>
      <c r="F137" t="s">
        <v>28</v>
      </c>
      <c r="G137">
        <v>8</v>
      </c>
      <c r="I137" s="3" t="str">
        <f t="shared" si="12"/>
        <v/>
      </c>
      <c r="J137" t="str">
        <f t="shared" si="13"/>
        <v>Open</v>
      </c>
      <c r="K137" t="s">
        <v>17</v>
      </c>
      <c r="L137" s="4">
        <f t="shared" si="14"/>
        <v>45962</v>
      </c>
    </row>
    <row r="138" spans="1:12" x14ac:dyDescent="0.45">
      <c r="A138" t="s">
        <v>175</v>
      </c>
      <c r="B138" s="2">
        <v>45708.483935185177</v>
      </c>
      <c r="C138" t="s">
        <v>51</v>
      </c>
      <c r="D138" t="s">
        <v>38</v>
      </c>
      <c r="E138" t="s">
        <v>19</v>
      </c>
      <c r="F138" t="s">
        <v>26</v>
      </c>
      <c r="G138">
        <v>72</v>
      </c>
      <c r="H138" s="2">
        <v>45708.940629695797</v>
      </c>
      <c r="I138" s="3">
        <f t="shared" si="12"/>
        <v>10.960668254876509</v>
      </c>
      <c r="J138" t="str">
        <f t="shared" si="13"/>
        <v>Met</v>
      </c>
      <c r="K138" t="s">
        <v>45</v>
      </c>
      <c r="L138" s="4">
        <f t="shared" si="14"/>
        <v>45689</v>
      </c>
    </row>
    <row r="139" spans="1:12" x14ac:dyDescent="0.45">
      <c r="A139" t="s">
        <v>176</v>
      </c>
      <c r="B139" s="2">
        <v>45886.687789351847</v>
      </c>
      <c r="C139" t="s">
        <v>47</v>
      </c>
      <c r="D139" t="s">
        <v>25</v>
      </c>
      <c r="E139" t="s">
        <v>15</v>
      </c>
      <c r="F139" t="s">
        <v>26</v>
      </c>
      <c r="G139">
        <v>8</v>
      </c>
      <c r="H139" s="2">
        <v>45887.068355445597</v>
      </c>
      <c r="I139" s="3">
        <f t="shared" si="12"/>
        <v>9.1335862500127405</v>
      </c>
      <c r="J139" t="str">
        <f t="shared" si="13"/>
        <v>Breached</v>
      </c>
      <c r="K139" t="s">
        <v>17</v>
      </c>
      <c r="L139" s="4">
        <f t="shared" si="14"/>
        <v>45870</v>
      </c>
    </row>
    <row r="140" spans="1:12" x14ac:dyDescent="0.45">
      <c r="A140" t="s">
        <v>177</v>
      </c>
      <c r="B140" s="2">
        <v>45960.15184027778</v>
      </c>
      <c r="C140" t="s">
        <v>13</v>
      </c>
      <c r="D140" t="s">
        <v>48</v>
      </c>
      <c r="E140" t="s">
        <v>19</v>
      </c>
      <c r="F140" t="s">
        <v>16</v>
      </c>
      <c r="G140">
        <v>24</v>
      </c>
      <c r="H140" s="2">
        <v>45960.622205318301</v>
      </c>
      <c r="I140" s="3">
        <f t="shared" si="12"/>
        <v>11.288760972500313</v>
      </c>
      <c r="J140" t="str">
        <f t="shared" si="13"/>
        <v>Met</v>
      </c>
      <c r="K140" t="s">
        <v>60</v>
      </c>
      <c r="L140" s="4">
        <f t="shared" si="14"/>
        <v>45931</v>
      </c>
    </row>
    <row r="141" spans="1:12" x14ac:dyDescent="0.45">
      <c r="A141" t="s">
        <v>178</v>
      </c>
      <c r="B141" s="2">
        <v>45775.141597222217</v>
      </c>
      <c r="C141" t="s">
        <v>13</v>
      </c>
      <c r="D141" t="s">
        <v>48</v>
      </c>
      <c r="E141" t="s">
        <v>15</v>
      </c>
      <c r="F141" t="s">
        <v>16</v>
      </c>
      <c r="G141">
        <v>24</v>
      </c>
      <c r="H141" s="2">
        <v>45775.248164851189</v>
      </c>
      <c r="I141" s="3">
        <f t="shared" si="12"/>
        <v>2.5576230953447521</v>
      </c>
      <c r="J141" t="str">
        <f t="shared" si="13"/>
        <v>Met</v>
      </c>
      <c r="K141" t="s">
        <v>29</v>
      </c>
      <c r="L141" s="4">
        <f t="shared" si="14"/>
        <v>45748</v>
      </c>
    </row>
    <row r="142" spans="1:12" x14ac:dyDescent="0.45">
      <c r="A142" t="s">
        <v>179</v>
      </c>
      <c r="B142" s="2">
        <v>45686.540960648148</v>
      </c>
      <c r="C142" t="s">
        <v>13</v>
      </c>
      <c r="D142" t="s">
        <v>48</v>
      </c>
      <c r="E142" t="s">
        <v>19</v>
      </c>
      <c r="F142" t="s">
        <v>28</v>
      </c>
      <c r="G142">
        <v>24</v>
      </c>
      <c r="I142" s="3" t="str">
        <f t="shared" si="12"/>
        <v/>
      </c>
      <c r="J142" t="str">
        <f t="shared" si="13"/>
        <v>Open</v>
      </c>
      <c r="K142" t="s">
        <v>60</v>
      </c>
      <c r="L142" s="4">
        <f t="shared" si="14"/>
        <v>45658</v>
      </c>
    </row>
    <row r="143" spans="1:12" x14ac:dyDescent="0.45">
      <c r="A143" t="s">
        <v>180</v>
      </c>
      <c r="B143" s="2">
        <v>45903.862604166658</v>
      </c>
      <c r="C143" t="s">
        <v>13</v>
      </c>
      <c r="D143" t="s">
        <v>14</v>
      </c>
      <c r="E143" t="s">
        <v>19</v>
      </c>
      <c r="F143" t="s">
        <v>16</v>
      </c>
      <c r="G143">
        <v>24</v>
      </c>
      <c r="H143" s="2">
        <v>45904.266845257567</v>
      </c>
      <c r="I143" s="3">
        <f t="shared" si="12"/>
        <v>9.7017861818312667</v>
      </c>
      <c r="J143" t="str">
        <f t="shared" si="13"/>
        <v>Met</v>
      </c>
      <c r="K143" t="s">
        <v>32</v>
      </c>
      <c r="L143" s="4">
        <f t="shared" si="14"/>
        <v>45901</v>
      </c>
    </row>
    <row r="144" spans="1:12" x14ac:dyDescent="0.45">
      <c r="A144" t="s">
        <v>181</v>
      </c>
      <c r="B144" s="2">
        <v>45966.007962962962</v>
      </c>
      <c r="C144" t="s">
        <v>47</v>
      </c>
      <c r="D144" t="s">
        <v>38</v>
      </c>
      <c r="E144" t="s">
        <v>15</v>
      </c>
      <c r="F144" t="s">
        <v>26</v>
      </c>
      <c r="G144">
        <v>8</v>
      </c>
      <c r="H144" s="2">
        <v>45966.226413795739</v>
      </c>
      <c r="I144" s="3">
        <f t="shared" si="12"/>
        <v>5.2428199866553769</v>
      </c>
      <c r="J144" t="str">
        <f t="shared" si="13"/>
        <v>Met</v>
      </c>
      <c r="K144" t="s">
        <v>49</v>
      </c>
      <c r="L144" s="4">
        <f t="shared" si="14"/>
        <v>45962</v>
      </c>
    </row>
    <row r="145" spans="1:12" x14ac:dyDescent="0.45">
      <c r="A145" t="s">
        <v>182</v>
      </c>
      <c r="B145" s="2">
        <v>45818.709247685183</v>
      </c>
      <c r="C145" t="s">
        <v>13</v>
      </c>
      <c r="D145" t="s">
        <v>21</v>
      </c>
      <c r="E145" t="s">
        <v>19</v>
      </c>
      <c r="F145" t="s">
        <v>16</v>
      </c>
      <c r="G145">
        <v>24</v>
      </c>
      <c r="H145" s="2">
        <v>45819.146118059929</v>
      </c>
      <c r="I145" s="3">
        <f t="shared" si="12"/>
        <v>10.484888993902132</v>
      </c>
      <c r="J145" t="str">
        <f t="shared" si="13"/>
        <v>Met</v>
      </c>
      <c r="K145" t="s">
        <v>17</v>
      </c>
      <c r="L145" s="4">
        <f t="shared" si="14"/>
        <v>45809</v>
      </c>
    </row>
    <row r="146" spans="1:12" x14ac:dyDescent="0.45">
      <c r="A146" t="s">
        <v>183</v>
      </c>
      <c r="B146" s="2">
        <v>45924.734826388893</v>
      </c>
      <c r="C146" t="s">
        <v>13</v>
      </c>
      <c r="D146" t="s">
        <v>48</v>
      </c>
      <c r="E146" t="s">
        <v>19</v>
      </c>
      <c r="F146" t="s">
        <v>22</v>
      </c>
      <c r="G146">
        <v>24</v>
      </c>
      <c r="I146" s="3" t="str">
        <f t="shared" si="12"/>
        <v/>
      </c>
      <c r="J146" t="str">
        <f t="shared" si="13"/>
        <v>Open</v>
      </c>
      <c r="K146" t="s">
        <v>45</v>
      </c>
      <c r="L146" s="4">
        <f t="shared" si="14"/>
        <v>45901</v>
      </c>
    </row>
    <row r="147" spans="1:12" x14ac:dyDescent="0.45">
      <c r="A147" t="s">
        <v>184</v>
      </c>
      <c r="B147" s="2">
        <v>45947.169664351852</v>
      </c>
      <c r="C147" t="s">
        <v>47</v>
      </c>
      <c r="D147" t="s">
        <v>14</v>
      </c>
      <c r="E147" t="s">
        <v>19</v>
      </c>
      <c r="F147" t="s">
        <v>16</v>
      </c>
      <c r="G147">
        <v>8</v>
      </c>
      <c r="H147" s="2">
        <v>45947.358805946562</v>
      </c>
      <c r="I147" s="3">
        <f t="shared" si="12"/>
        <v>4.5393982730456628</v>
      </c>
      <c r="J147" t="str">
        <f t="shared" si="13"/>
        <v>Met</v>
      </c>
      <c r="K147" t="s">
        <v>49</v>
      </c>
      <c r="L147" s="4">
        <f t="shared" si="14"/>
        <v>45931</v>
      </c>
    </row>
    <row r="148" spans="1:12" x14ac:dyDescent="0.45">
      <c r="A148" t="s">
        <v>185</v>
      </c>
      <c r="B148" s="2">
        <v>45795.323865740742</v>
      </c>
      <c r="C148" t="s">
        <v>13</v>
      </c>
      <c r="D148" t="s">
        <v>25</v>
      </c>
      <c r="E148" t="s">
        <v>15</v>
      </c>
      <c r="F148" t="s">
        <v>28</v>
      </c>
      <c r="G148">
        <v>24</v>
      </c>
      <c r="I148" s="3" t="str">
        <f t="shared" si="12"/>
        <v/>
      </c>
      <c r="J148" t="str">
        <f t="shared" si="13"/>
        <v>Open</v>
      </c>
      <c r="K148" t="s">
        <v>53</v>
      </c>
      <c r="L148" s="4">
        <f t="shared" si="14"/>
        <v>45778</v>
      </c>
    </row>
    <row r="149" spans="1:12" x14ac:dyDescent="0.45">
      <c r="A149" t="s">
        <v>186</v>
      </c>
      <c r="B149" s="2">
        <v>45891.176145833328</v>
      </c>
      <c r="C149" t="s">
        <v>51</v>
      </c>
      <c r="D149" t="s">
        <v>48</v>
      </c>
      <c r="E149" t="s">
        <v>19</v>
      </c>
      <c r="F149" t="s">
        <v>16</v>
      </c>
      <c r="G149">
        <v>72</v>
      </c>
      <c r="H149" s="2">
        <v>45896.990061704921</v>
      </c>
      <c r="I149" s="3">
        <f t="shared" si="12"/>
        <v>139.53398091823328</v>
      </c>
      <c r="J149" t="str">
        <f t="shared" si="13"/>
        <v>Breached</v>
      </c>
      <c r="K149" t="s">
        <v>23</v>
      </c>
      <c r="L149" s="4">
        <f t="shared" si="14"/>
        <v>45870</v>
      </c>
    </row>
    <row r="150" spans="1:12" x14ac:dyDescent="0.45">
      <c r="A150" t="s">
        <v>187</v>
      </c>
      <c r="B150" s="2">
        <v>45800.746550925927</v>
      </c>
      <c r="C150" t="s">
        <v>13</v>
      </c>
      <c r="D150" t="s">
        <v>14</v>
      </c>
      <c r="E150" t="s">
        <v>19</v>
      </c>
      <c r="F150" t="s">
        <v>16</v>
      </c>
      <c r="G150">
        <v>24</v>
      </c>
      <c r="H150" s="2">
        <v>45801.006878883643</v>
      </c>
      <c r="I150" s="3">
        <f t="shared" si="12"/>
        <v>6.2478709851857275</v>
      </c>
      <c r="J150" t="str">
        <f t="shared" si="13"/>
        <v>Met</v>
      </c>
      <c r="K150" t="s">
        <v>29</v>
      </c>
      <c r="L150" s="4">
        <f t="shared" si="14"/>
        <v>45778</v>
      </c>
    </row>
    <row r="151" spans="1:12" x14ac:dyDescent="0.45">
      <c r="A151" t="s">
        <v>188</v>
      </c>
      <c r="B151" s="2">
        <v>45668.195972222216</v>
      </c>
      <c r="C151" t="s">
        <v>13</v>
      </c>
      <c r="D151" t="s">
        <v>38</v>
      </c>
      <c r="E151" t="s">
        <v>15</v>
      </c>
      <c r="F151" t="s">
        <v>16</v>
      </c>
      <c r="G151">
        <v>24</v>
      </c>
      <c r="H151" s="2">
        <v>45668.89090042693</v>
      </c>
      <c r="I151" s="3">
        <f t="shared" si="12"/>
        <v>16.678276913124137</v>
      </c>
      <c r="J151" t="str">
        <f t="shared" si="13"/>
        <v>Met</v>
      </c>
      <c r="K151" t="s">
        <v>29</v>
      </c>
      <c r="L151" s="4">
        <f t="shared" si="14"/>
        <v>45658</v>
      </c>
    </row>
    <row r="152" spans="1:12" x14ac:dyDescent="0.45">
      <c r="A152" t="s">
        <v>189</v>
      </c>
      <c r="B152" s="2">
        <v>45660.371249999997</v>
      </c>
      <c r="C152" t="s">
        <v>47</v>
      </c>
      <c r="D152" t="s">
        <v>25</v>
      </c>
      <c r="E152" t="s">
        <v>44</v>
      </c>
      <c r="F152" t="s">
        <v>16</v>
      </c>
      <c r="G152">
        <v>8</v>
      </c>
      <c r="H152" s="2">
        <v>45661.104701036988</v>
      </c>
      <c r="I152" s="3">
        <f t="shared" si="12"/>
        <v>17.602824887784664</v>
      </c>
      <c r="J152" t="str">
        <f t="shared" si="13"/>
        <v>Breached</v>
      </c>
      <c r="K152" t="s">
        <v>36</v>
      </c>
      <c r="L152" s="4">
        <f t="shared" si="14"/>
        <v>45658</v>
      </c>
    </row>
    <row r="153" spans="1:12" x14ac:dyDescent="0.45">
      <c r="A153" t="s">
        <v>190</v>
      </c>
      <c r="B153" s="2">
        <v>45741.549317129633</v>
      </c>
      <c r="C153" t="s">
        <v>13</v>
      </c>
      <c r="D153" t="s">
        <v>14</v>
      </c>
      <c r="E153" t="s">
        <v>19</v>
      </c>
      <c r="F153" t="s">
        <v>16</v>
      </c>
      <c r="G153">
        <v>24</v>
      </c>
      <c r="H153" s="2">
        <v>45741.74570775617</v>
      </c>
      <c r="I153" s="3">
        <f t="shared" si="12"/>
        <v>4.7133750368957408</v>
      </c>
      <c r="J153" t="str">
        <f t="shared" si="13"/>
        <v>Met</v>
      </c>
      <c r="K153" t="s">
        <v>29</v>
      </c>
      <c r="L153" s="4">
        <f t="shared" si="14"/>
        <v>45717</v>
      </c>
    </row>
    <row r="154" spans="1:12" x14ac:dyDescent="0.45">
      <c r="A154" t="s">
        <v>191</v>
      </c>
      <c r="B154" s="2">
        <v>45718.421238425923</v>
      </c>
      <c r="C154" t="s">
        <v>13</v>
      </c>
      <c r="D154" t="s">
        <v>38</v>
      </c>
      <c r="E154" t="s">
        <v>15</v>
      </c>
      <c r="F154" t="s">
        <v>16</v>
      </c>
      <c r="G154">
        <v>24</v>
      </c>
      <c r="H154" s="2">
        <v>45719.098029326793</v>
      </c>
      <c r="I154" s="3">
        <f t="shared" si="12"/>
        <v>16.242981620889623</v>
      </c>
      <c r="J154" t="str">
        <f t="shared" si="13"/>
        <v>Met</v>
      </c>
      <c r="K154" t="s">
        <v>40</v>
      </c>
      <c r="L154" s="4">
        <f t="shared" si="14"/>
        <v>45717</v>
      </c>
    </row>
    <row r="155" spans="1:12" x14ac:dyDescent="0.45">
      <c r="A155" t="s">
        <v>192</v>
      </c>
      <c r="B155" s="2">
        <v>45764.087476851862</v>
      </c>
      <c r="C155" t="s">
        <v>13</v>
      </c>
      <c r="D155" t="s">
        <v>35</v>
      </c>
      <c r="E155" t="s">
        <v>15</v>
      </c>
      <c r="F155" t="s">
        <v>16</v>
      </c>
      <c r="G155">
        <v>24</v>
      </c>
      <c r="H155" s="2">
        <v>45764.458487607451</v>
      </c>
      <c r="I155" s="3">
        <f t="shared" si="12"/>
        <v>8.9042581341345794</v>
      </c>
      <c r="J155" t="str">
        <f t="shared" si="13"/>
        <v>Met</v>
      </c>
      <c r="K155" t="s">
        <v>53</v>
      </c>
      <c r="L155" s="4">
        <f t="shared" si="14"/>
        <v>45748</v>
      </c>
    </row>
    <row r="156" spans="1:12" x14ac:dyDescent="0.45">
      <c r="A156" t="s">
        <v>193</v>
      </c>
      <c r="B156" s="2">
        <v>45675.638344907413</v>
      </c>
      <c r="C156" t="s">
        <v>13</v>
      </c>
      <c r="D156" t="s">
        <v>38</v>
      </c>
      <c r="E156" t="s">
        <v>19</v>
      </c>
      <c r="F156" t="s">
        <v>16</v>
      </c>
      <c r="G156">
        <v>24</v>
      </c>
      <c r="H156" s="2">
        <v>45675.739292128826</v>
      </c>
      <c r="I156" s="3">
        <f t="shared" si="12"/>
        <v>2.4227333139278926</v>
      </c>
      <c r="J156" t="str">
        <f t="shared" si="13"/>
        <v>Met</v>
      </c>
      <c r="K156" t="s">
        <v>23</v>
      </c>
      <c r="L156" s="4">
        <f t="shared" si="14"/>
        <v>45658</v>
      </c>
    </row>
    <row r="157" spans="1:12" x14ac:dyDescent="0.45">
      <c r="A157" t="s">
        <v>194</v>
      </c>
      <c r="B157" s="2">
        <v>45785.430081018523</v>
      </c>
      <c r="C157" t="s">
        <v>51</v>
      </c>
      <c r="D157" t="s">
        <v>21</v>
      </c>
      <c r="E157" t="s">
        <v>15</v>
      </c>
      <c r="F157" t="s">
        <v>16</v>
      </c>
      <c r="G157">
        <v>72</v>
      </c>
      <c r="H157" s="2">
        <v>45786.781608500198</v>
      </c>
      <c r="I157" s="3">
        <f t="shared" si="12"/>
        <v>32.436659560189582</v>
      </c>
      <c r="J157" t="str">
        <f t="shared" si="13"/>
        <v>Met</v>
      </c>
      <c r="K157" t="s">
        <v>23</v>
      </c>
      <c r="L157" s="4">
        <f t="shared" si="14"/>
        <v>45778</v>
      </c>
    </row>
    <row r="158" spans="1:12" x14ac:dyDescent="0.45">
      <c r="A158" t="s">
        <v>195</v>
      </c>
      <c r="B158" s="2">
        <v>45685.991342592592</v>
      </c>
      <c r="C158" t="s">
        <v>13</v>
      </c>
      <c r="D158" t="s">
        <v>21</v>
      </c>
      <c r="E158" t="s">
        <v>19</v>
      </c>
      <c r="F158" t="s">
        <v>16</v>
      </c>
      <c r="G158">
        <v>24</v>
      </c>
      <c r="H158" s="2">
        <v>45686.447026816422</v>
      </c>
      <c r="I158" s="3">
        <f t="shared" si="12"/>
        <v>10.936421371938195</v>
      </c>
      <c r="J158" t="str">
        <f t="shared" si="13"/>
        <v>Met</v>
      </c>
      <c r="K158" t="s">
        <v>36</v>
      </c>
      <c r="L158" s="4">
        <f t="shared" si="14"/>
        <v>45658</v>
      </c>
    </row>
    <row r="159" spans="1:12" x14ac:dyDescent="0.45">
      <c r="A159" t="s">
        <v>196</v>
      </c>
      <c r="B159" s="2">
        <v>45815.062268518523</v>
      </c>
      <c r="C159" t="s">
        <v>31</v>
      </c>
      <c r="D159" t="s">
        <v>25</v>
      </c>
      <c r="E159" t="s">
        <v>15</v>
      </c>
      <c r="F159" t="s">
        <v>16</v>
      </c>
      <c r="G159">
        <v>4</v>
      </c>
      <c r="H159" s="2">
        <v>45815.088453724617</v>
      </c>
      <c r="I159" s="3">
        <f t="shared" si="12"/>
        <v>0.62844494625460356</v>
      </c>
      <c r="J159" t="str">
        <f t="shared" si="13"/>
        <v>Met</v>
      </c>
      <c r="K159" t="s">
        <v>32</v>
      </c>
      <c r="L159" s="4">
        <f t="shared" si="14"/>
        <v>45809</v>
      </c>
    </row>
    <row r="160" spans="1:12" x14ac:dyDescent="0.45">
      <c r="A160" t="s">
        <v>197</v>
      </c>
      <c r="B160" s="2">
        <v>45692.22625</v>
      </c>
      <c r="C160" t="s">
        <v>13</v>
      </c>
      <c r="D160" t="s">
        <v>38</v>
      </c>
      <c r="E160" t="s">
        <v>19</v>
      </c>
      <c r="F160" t="s">
        <v>16</v>
      </c>
      <c r="G160">
        <v>24</v>
      </c>
      <c r="H160" s="2">
        <v>45694.038683922139</v>
      </c>
      <c r="I160" s="3">
        <f t="shared" si="12"/>
        <v>43.49841413134709</v>
      </c>
      <c r="J160" t="str">
        <f t="shared" si="13"/>
        <v>Breached</v>
      </c>
      <c r="K160" t="s">
        <v>36</v>
      </c>
      <c r="L160" s="4">
        <f t="shared" si="14"/>
        <v>45689</v>
      </c>
    </row>
    <row r="161" spans="1:12" x14ac:dyDescent="0.45">
      <c r="A161" t="s">
        <v>198</v>
      </c>
      <c r="B161" s="2">
        <v>45787.351018518522</v>
      </c>
      <c r="C161" t="s">
        <v>31</v>
      </c>
      <c r="D161" t="s">
        <v>25</v>
      </c>
      <c r="E161" t="s">
        <v>15</v>
      </c>
      <c r="F161" t="s">
        <v>16</v>
      </c>
      <c r="G161">
        <v>4</v>
      </c>
      <c r="H161" s="2">
        <v>45787.710709046391</v>
      </c>
      <c r="I161" s="3">
        <f t="shared" si="12"/>
        <v>8.6325726688373834</v>
      </c>
      <c r="J161" t="str">
        <f t="shared" si="13"/>
        <v>Breached</v>
      </c>
      <c r="K161" t="s">
        <v>17</v>
      </c>
      <c r="L161" s="4">
        <f t="shared" si="14"/>
        <v>45778</v>
      </c>
    </row>
    <row r="162" spans="1:12" x14ac:dyDescent="0.45">
      <c r="A162" t="s">
        <v>199</v>
      </c>
      <c r="B162" s="2">
        <v>45749.757719907408</v>
      </c>
      <c r="C162" t="s">
        <v>47</v>
      </c>
      <c r="D162" t="s">
        <v>25</v>
      </c>
      <c r="E162" t="s">
        <v>19</v>
      </c>
      <c r="F162" t="s">
        <v>16</v>
      </c>
      <c r="G162">
        <v>8</v>
      </c>
      <c r="H162" s="2">
        <v>45749.82817127103</v>
      </c>
      <c r="I162" s="3">
        <f t="shared" ref="I162:I193" si="15">IF(H162="","",(H162-B162)*24)</f>
        <v>1.6908327269484289</v>
      </c>
      <c r="J162" t="str">
        <f t="shared" ref="J162:J193" si="16">IF(H162="","Open",IF(I162&lt;=G162,"Met","Breached"))</f>
        <v>Met</v>
      </c>
      <c r="K162" t="s">
        <v>45</v>
      </c>
      <c r="L162" s="4">
        <f t="shared" ref="L162:L181" si="17">DATE(YEAR(B162),MONTH(B162),1)</f>
        <v>45748</v>
      </c>
    </row>
    <row r="163" spans="1:12" x14ac:dyDescent="0.45">
      <c r="A163" t="s">
        <v>200</v>
      </c>
      <c r="B163" s="2">
        <v>45838.181493055563</v>
      </c>
      <c r="C163" t="s">
        <v>51</v>
      </c>
      <c r="D163" t="s">
        <v>14</v>
      </c>
      <c r="E163" t="s">
        <v>19</v>
      </c>
      <c r="F163" t="s">
        <v>26</v>
      </c>
      <c r="G163">
        <v>72</v>
      </c>
      <c r="H163" s="2">
        <v>45839.583938722571</v>
      </c>
      <c r="I163" s="3">
        <f t="shared" si="15"/>
        <v>33.658696008205879</v>
      </c>
      <c r="J163" t="str">
        <f t="shared" si="16"/>
        <v>Met</v>
      </c>
      <c r="K163" t="s">
        <v>60</v>
      </c>
      <c r="L163" s="4">
        <f t="shared" si="17"/>
        <v>45809</v>
      </c>
    </row>
    <row r="164" spans="1:12" x14ac:dyDescent="0.45">
      <c r="A164" t="s">
        <v>201</v>
      </c>
      <c r="B164" s="2">
        <v>45993.640185185177</v>
      </c>
      <c r="C164" t="s">
        <v>13</v>
      </c>
      <c r="D164" t="s">
        <v>48</v>
      </c>
      <c r="E164" t="s">
        <v>44</v>
      </c>
      <c r="F164" t="s">
        <v>28</v>
      </c>
      <c r="G164">
        <v>24</v>
      </c>
      <c r="I164" s="3" t="str">
        <f t="shared" si="15"/>
        <v/>
      </c>
      <c r="J164" t="str">
        <f t="shared" si="16"/>
        <v>Open</v>
      </c>
      <c r="K164" t="s">
        <v>36</v>
      </c>
      <c r="L164" s="4">
        <f t="shared" si="17"/>
        <v>45992</v>
      </c>
    </row>
    <row r="165" spans="1:12" x14ac:dyDescent="0.45">
      <c r="A165" t="s">
        <v>202</v>
      </c>
      <c r="B165" s="2">
        <v>45967.263773148137</v>
      </c>
      <c r="C165" t="s">
        <v>47</v>
      </c>
      <c r="D165" t="s">
        <v>14</v>
      </c>
      <c r="E165" t="s">
        <v>19</v>
      </c>
      <c r="F165" t="s">
        <v>16</v>
      </c>
      <c r="G165">
        <v>8</v>
      </c>
      <c r="H165" s="2">
        <v>45967.909719664567</v>
      </c>
      <c r="I165" s="3">
        <f t="shared" si="15"/>
        <v>15.502716394315939</v>
      </c>
      <c r="J165" t="str">
        <f t="shared" si="16"/>
        <v>Breached</v>
      </c>
      <c r="K165" t="s">
        <v>23</v>
      </c>
      <c r="L165" s="4">
        <f t="shared" si="17"/>
        <v>45962</v>
      </c>
    </row>
    <row r="166" spans="1:12" x14ac:dyDescent="0.45">
      <c r="A166" t="s">
        <v>203</v>
      </c>
      <c r="B166" s="2">
        <v>45687.799363425933</v>
      </c>
      <c r="C166" t="s">
        <v>13</v>
      </c>
      <c r="D166" t="s">
        <v>14</v>
      </c>
      <c r="E166" t="s">
        <v>19</v>
      </c>
      <c r="F166" t="s">
        <v>16</v>
      </c>
      <c r="G166">
        <v>24</v>
      </c>
      <c r="H166" s="2">
        <v>45687.933339174648</v>
      </c>
      <c r="I166" s="3">
        <f t="shared" si="15"/>
        <v>3.215417969156988</v>
      </c>
      <c r="J166" t="str">
        <f t="shared" si="16"/>
        <v>Met</v>
      </c>
      <c r="K166" t="s">
        <v>23</v>
      </c>
      <c r="L166" s="4">
        <f t="shared" si="17"/>
        <v>45658</v>
      </c>
    </row>
    <row r="167" spans="1:12" x14ac:dyDescent="0.45">
      <c r="A167" t="s">
        <v>204</v>
      </c>
      <c r="B167" s="2">
        <v>45832.659236111111</v>
      </c>
      <c r="C167" t="s">
        <v>13</v>
      </c>
      <c r="D167" t="s">
        <v>38</v>
      </c>
      <c r="E167" t="s">
        <v>15</v>
      </c>
      <c r="F167" t="s">
        <v>22</v>
      </c>
      <c r="G167">
        <v>24</v>
      </c>
      <c r="I167" s="3" t="str">
        <f t="shared" si="15"/>
        <v/>
      </c>
      <c r="J167" t="str">
        <f t="shared" si="16"/>
        <v>Open</v>
      </c>
      <c r="K167" t="s">
        <v>40</v>
      </c>
      <c r="L167" s="4">
        <f t="shared" si="17"/>
        <v>45809</v>
      </c>
    </row>
    <row r="168" spans="1:12" x14ac:dyDescent="0.45">
      <c r="A168" t="s">
        <v>205</v>
      </c>
      <c r="B168" s="2">
        <v>45832.965821759259</v>
      </c>
      <c r="C168" t="s">
        <v>13</v>
      </c>
      <c r="D168" t="s">
        <v>35</v>
      </c>
      <c r="E168" t="s">
        <v>19</v>
      </c>
      <c r="F168" t="s">
        <v>26</v>
      </c>
      <c r="G168">
        <v>24</v>
      </c>
      <c r="H168" s="2">
        <v>45833.335218890788</v>
      </c>
      <c r="I168" s="3">
        <f t="shared" si="15"/>
        <v>8.8655311567126773</v>
      </c>
      <c r="J168" t="str">
        <f t="shared" si="16"/>
        <v>Met</v>
      </c>
      <c r="K168" t="s">
        <v>40</v>
      </c>
      <c r="L168" s="4">
        <f t="shared" si="17"/>
        <v>45809</v>
      </c>
    </row>
    <row r="169" spans="1:12" x14ac:dyDescent="0.45">
      <c r="A169" t="s">
        <v>206</v>
      </c>
      <c r="B169" s="2">
        <v>45828.654490740737</v>
      </c>
      <c r="C169" t="s">
        <v>13</v>
      </c>
      <c r="D169" t="s">
        <v>21</v>
      </c>
      <c r="E169" t="s">
        <v>19</v>
      </c>
      <c r="F169" t="s">
        <v>26</v>
      </c>
      <c r="G169">
        <v>24</v>
      </c>
      <c r="H169" s="2">
        <v>45829.042915843253</v>
      </c>
      <c r="I169" s="3">
        <f t="shared" si="15"/>
        <v>9.3222024603746831</v>
      </c>
      <c r="J169" t="str">
        <f t="shared" si="16"/>
        <v>Met</v>
      </c>
      <c r="K169" t="s">
        <v>60</v>
      </c>
      <c r="L169" s="4">
        <f t="shared" si="17"/>
        <v>45809</v>
      </c>
    </row>
    <row r="170" spans="1:12" x14ac:dyDescent="0.45">
      <c r="A170" t="s">
        <v>207</v>
      </c>
      <c r="B170" s="2">
        <v>45964.505335648151</v>
      </c>
      <c r="C170" t="s">
        <v>13</v>
      </c>
      <c r="D170" t="s">
        <v>25</v>
      </c>
      <c r="E170" t="s">
        <v>15</v>
      </c>
      <c r="F170" t="s">
        <v>16</v>
      </c>
      <c r="G170">
        <v>24</v>
      </c>
      <c r="H170" s="2">
        <v>45964.861948050413</v>
      </c>
      <c r="I170" s="3">
        <f t="shared" si="15"/>
        <v>8.5586976542836055</v>
      </c>
      <c r="J170" t="str">
        <f t="shared" si="16"/>
        <v>Met</v>
      </c>
      <c r="K170" t="s">
        <v>40</v>
      </c>
      <c r="L170" s="4">
        <f t="shared" si="17"/>
        <v>45962</v>
      </c>
    </row>
    <row r="171" spans="1:12" x14ac:dyDescent="0.45">
      <c r="A171" t="s">
        <v>208</v>
      </c>
      <c r="B171" s="2">
        <v>45997.148182870369</v>
      </c>
      <c r="C171" t="s">
        <v>13</v>
      </c>
      <c r="D171" t="s">
        <v>25</v>
      </c>
      <c r="E171" t="s">
        <v>15</v>
      </c>
      <c r="F171" t="s">
        <v>26</v>
      </c>
      <c r="G171">
        <v>24</v>
      </c>
      <c r="H171" s="2">
        <v>45999.359504055879</v>
      </c>
      <c r="I171" s="3">
        <f t="shared" si="15"/>
        <v>53.071708452247549</v>
      </c>
      <c r="J171" t="str">
        <f t="shared" si="16"/>
        <v>Breached</v>
      </c>
      <c r="K171" t="s">
        <v>32</v>
      </c>
      <c r="L171" s="4">
        <f t="shared" si="17"/>
        <v>45992</v>
      </c>
    </row>
    <row r="172" spans="1:12" x14ac:dyDescent="0.45">
      <c r="A172" t="s">
        <v>209</v>
      </c>
      <c r="B172" s="2">
        <v>45708.07984953704</v>
      </c>
      <c r="C172" t="s">
        <v>13</v>
      </c>
      <c r="D172" t="s">
        <v>48</v>
      </c>
      <c r="E172" t="s">
        <v>15</v>
      </c>
      <c r="F172" t="s">
        <v>16</v>
      </c>
      <c r="G172">
        <v>24</v>
      </c>
      <c r="H172" s="2">
        <v>45708.41776069234</v>
      </c>
      <c r="I172" s="3">
        <f t="shared" si="15"/>
        <v>8.1098677272093482</v>
      </c>
      <c r="J172" t="str">
        <f t="shared" si="16"/>
        <v>Met</v>
      </c>
      <c r="K172" t="s">
        <v>53</v>
      </c>
      <c r="L172" s="4">
        <f t="shared" si="17"/>
        <v>45689</v>
      </c>
    </row>
    <row r="173" spans="1:12" x14ac:dyDescent="0.45">
      <c r="A173" t="s">
        <v>210</v>
      </c>
      <c r="B173" s="2">
        <v>45694.293530092589</v>
      </c>
      <c r="C173" t="s">
        <v>51</v>
      </c>
      <c r="D173" t="s">
        <v>21</v>
      </c>
      <c r="E173" t="s">
        <v>15</v>
      </c>
      <c r="F173" t="s">
        <v>16</v>
      </c>
      <c r="G173">
        <v>72</v>
      </c>
      <c r="H173" s="2">
        <v>45695.453030481403</v>
      </c>
      <c r="I173" s="3">
        <f t="shared" si="15"/>
        <v>27.82800933154067</v>
      </c>
      <c r="J173" t="str">
        <f t="shared" si="16"/>
        <v>Met</v>
      </c>
      <c r="K173" t="s">
        <v>29</v>
      </c>
      <c r="L173" s="4">
        <f t="shared" si="17"/>
        <v>45689</v>
      </c>
    </row>
    <row r="174" spans="1:12" x14ac:dyDescent="0.45">
      <c r="A174" t="s">
        <v>211</v>
      </c>
      <c r="B174" s="2">
        <v>45732.567430555559</v>
      </c>
      <c r="C174" t="s">
        <v>47</v>
      </c>
      <c r="D174" t="s">
        <v>21</v>
      </c>
      <c r="E174" t="s">
        <v>19</v>
      </c>
      <c r="F174" t="s">
        <v>26</v>
      </c>
      <c r="G174">
        <v>8</v>
      </c>
      <c r="H174" s="2">
        <v>45732.962443521399</v>
      </c>
      <c r="I174" s="3">
        <f t="shared" si="15"/>
        <v>9.4803111801738851</v>
      </c>
      <c r="J174" t="str">
        <f t="shared" si="16"/>
        <v>Breached</v>
      </c>
      <c r="K174" t="s">
        <v>60</v>
      </c>
      <c r="L174" s="4">
        <f t="shared" si="17"/>
        <v>45717</v>
      </c>
    </row>
    <row r="175" spans="1:12" x14ac:dyDescent="0.45">
      <c r="A175" t="s">
        <v>212</v>
      </c>
      <c r="B175" s="2">
        <v>45672.65966435185</v>
      </c>
      <c r="C175" t="s">
        <v>47</v>
      </c>
      <c r="D175" t="s">
        <v>38</v>
      </c>
      <c r="E175" t="s">
        <v>15</v>
      </c>
      <c r="F175" t="s">
        <v>16</v>
      </c>
      <c r="G175">
        <v>8</v>
      </c>
      <c r="H175" s="2">
        <v>45672.867920772827</v>
      </c>
      <c r="I175" s="3">
        <f t="shared" si="15"/>
        <v>4.9981541034649126</v>
      </c>
      <c r="J175" t="str">
        <f t="shared" si="16"/>
        <v>Met</v>
      </c>
      <c r="K175" t="s">
        <v>29</v>
      </c>
      <c r="L175" s="4">
        <f t="shared" si="17"/>
        <v>45658</v>
      </c>
    </row>
    <row r="176" spans="1:12" x14ac:dyDescent="0.45">
      <c r="A176" t="s">
        <v>213</v>
      </c>
      <c r="B176" s="2">
        <v>45972.201412037037</v>
      </c>
      <c r="C176" t="s">
        <v>47</v>
      </c>
      <c r="D176" t="s">
        <v>21</v>
      </c>
      <c r="E176" t="s">
        <v>15</v>
      </c>
      <c r="F176" t="s">
        <v>28</v>
      </c>
      <c r="G176">
        <v>8</v>
      </c>
      <c r="I176" s="3" t="str">
        <f t="shared" si="15"/>
        <v/>
      </c>
      <c r="J176" t="str">
        <f t="shared" si="16"/>
        <v>Open</v>
      </c>
      <c r="K176" t="s">
        <v>32</v>
      </c>
      <c r="L176" s="4">
        <f t="shared" si="17"/>
        <v>45962</v>
      </c>
    </row>
    <row r="177" spans="1:12" x14ac:dyDescent="0.45">
      <c r="A177" t="s">
        <v>214</v>
      </c>
      <c r="B177" s="2">
        <v>45830.509664351863</v>
      </c>
      <c r="C177" t="s">
        <v>31</v>
      </c>
      <c r="D177" t="s">
        <v>25</v>
      </c>
      <c r="E177" t="s">
        <v>15</v>
      </c>
      <c r="F177" t="s">
        <v>16</v>
      </c>
      <c r="G177">
        <v>4</v>
      </c>
      <c r="H177" s="2">
        <v>45830.639486740904</v>
      </c>
      <c r="I177" s="3">
        <f t="shared" si="15"/>
        <v>3.115737336978782</v>
      </c>
      <c r="J177" t="str">
        <f t="shared" si="16"/>
        <v>Met</v>
      </c>
      <c r="K177" t="s">
        <v>17</v>
      </c>
      <c r="L177" s="4">
        <f t="shared" si="17"/>
        <v>45809</v>
      </c>
    </row>
    <row r="178" spans="1:12" x14ac:dyDescent="0.45">
      <c r="A178" t="s">
        <v>215</v>
      </c>
      <c r="B178" s="2">
        <v>45800.855254629627</v>
      </c>
      <c r="C178" t="s">
        <v>47</v>
      </c>
      <c r="D178" t="s">
        <v>35</v>
      </c>
      <c r="E178" t="s">
        <v>44</v>
      </c>
      <c r="F178" t="s">
        <v>26</v>
      </c>
      <c r="G178">
        <v>8</v>
      </c>
      <c r="H178" s="2">
        <v>45801.008506491387</v>
      </c>
      <c r="I178" s="3">
        <f t="shared" si="15"/>
        <v>3.6780446822522208</v>
      </c>
      <c r="J178" t="str">
        <f t="shared" si="16"/>
        <v>Met</v>
      </c>
      <c r="K178" t="s">
        <v>17</v>
      </c>
      <c r="L178" s="4">
        <f t="shared" si="17"/>
        <v>45778</v>
      </c>
    </row>
    <row r="179" spans="1:12" x14ac:dyDescent="0.45">
      <c r="A179" t="s">
        <v>216</v>
      </c>
      <c r="B179" s="2">
        <v>45975.249085648153</v>
      </c>
      <c r="C179" t="s">
        <v>51</v>
      </c>
      <c r="D179" t="s">
        <v>38</v>
      </c>
      <c r="E179" t="s">
        <v>19</v>
      </c>
      <c r="F179" t="s">
        <v>16</v>
      </c>
      <c r="G179">
        <v>72</v>
      </c>
      <c r="H179" s="2">
        <v>45977.834761005113</v>
      </c>
      <c r="I179" s="3">
        <f t="shared" si="15"/>
        <v>62.056208567053545</v>
      </c>
      <c r="J179" t="str">
        <f t="shared" si="16"/>
        <v>Met</v>
      </c>
      <c r="K179" t="s">
        <v>45</v>
      </c>
      <c r="L179" s="4">
        <f t="shared" si="17"/>
        <v>45962</v>
      </c>
    </row>
    <row r="180" spans="1:12" x14ac:dyDescent="0.45">
      <c r="A180" t="s">
        <v>217</v>
      </c>
      <c r="B180" s="2">
        <v>45934.280729166669</v>
      </c>
      <c r="C180" t="s">
        <v>13</v>
      </c>
      <c r="D180" t="s">
        <v>25</v>
      </c>
      <c r="E180" t="s">
        <v>15</v>
      </c>
      <c r="F180" t="s">
        <v>22</v>
      </c>
      <c r="G180">
        <v>24</v>
      </c>
      <c r="I180" s="3" t="str">
        <f t="shared" si="15"/>
        <v/>
      </c>
      <c r="J180" t="str">
        <f t="shared" si="16"/>
        <v>Open</v>
      </c>
      <c r="K180" t="s">
        <v>49</v>
      </c>
      <c r="L180" s="4">
        <f t="shared" si="17"/>
        <v>45931</v>
      </c>
    </row>
    <row r="181" spans="1:12" x14ac:dyDescent="0.45">
      <c r="A181" t="s">
        <v>218</v>
      </c>
      <c r="B181" s="2">
        <v>45715.224537037036</v>
      </c>
      <c r="C181" t="s">
        <v>47</v>
      </c>
      <c r="D181" t="s">
        <v>21</v>
      </c>
      <c r="E181" t="s">
        <v>19</v>
      </c>
      <c r="F181" t="s">
        <v>22</v>
      </c>
      <c r="G181">
        <v>8</v>
      </c>
      <c r="I181" s="3" t="str">
        <f t="shared" si="15"/>
        <v/>
      </c>
      <c r="J181" t="str">
        <f t="shared" si="16"/>
        <v>Open</v>
      </c>
      <c r="K181" t="s">
        <v>29</v>
      </c>
      <c r="L181" s="4">
        <f t="shared" si="17"/>
        <v>45689</v>
      </c>
    </row>
  </sheetData>
  <conditionalFormatting sqref="J2:J181">
    <cfRule type="cellIs" dxfId="7" priority="1" operator="equal">
      <formula>"Met"</formula>
    </cfRule>
    <cfRule type="cellIs" dxfId="6" priority="2" operator="equal">
      <formula>"Breached"</formula>
    </cfRule>
    <cfRule type="cellIs" dxfId="5" priority="3" operator="equal">
      <formula>"Open"</formula>
    </cfRule>
  </conditionalFormatting>
  <dataValidations count="4">
    <dataValidation type="list" sqref="C2:C181" xr:uid="{00000000-0002-0000-0000-000000000000}">
      <formula1>"P1,P2,P3,P4"</formula1>
    </dataValidation>
    <dataValidation type="list" sqref="D2:D181" xr:uid="{00000000-0002-0000-0000-000001000000}">
      <formula1>"Access,Bug,Data,Change,Hardware,Network"</formula1>
    </dataValidation>
    <dataValidation type="list" sqref="E2:E181" xr:uid="{00000000-0002-0000-0000-000002000000}">
      <formula1>"L1,L2,L3"</formula1>
    </dataValidation>
    <dataValidation type="list" sqref="F2:F181" xr:uid="{00000000-0002-0000-0000-000003000000}">
      <formula1>"Open,In Progress,Resolved,Closed"</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K60"/>
  <sheetViews>
    <sheetView showGridLines="0" tabSelected="1" zoomScale="85" zoomScaleNormal="85" workbookViewId="0"/>
  </sheetViews>
  <sheetFormatPr defaultRowHeight="14.25" x14ac:dyDescent="0.45"/>
  <cols>
    <col min="1" max="1" width="2" customWidth="1"/>
    <col min="2" max="2" width="13.9296875" bestFit="1" customWidth="1"/>
    <col min="3" max="3" width="14.73046875" bestFit="1" customWidth="1"/>
    <col min="4" max="4" width="10.1328125" bestFit="1" customWidth="1"/>
    <col min="5" max="5" width="2.73046875" bestFit="1" customWidth="1"/>
    <col min="6" max="6" width="4.796875" bestFit="1" customWidth="1"/>
    <col min="7" max="7" width="10.19921875" bestFit="1" customWidth="1"/>
    <col min="8" max="8" width="20" customWidth="1"/>
    <col min="9" max="9" width="8" customWidth="1"/>
    <col min="10" max="10" width="20" customWidth="1"/>
    <col min="11" max="11" width="8" customWidth="1"/>
    <col min="12" max="12" width="12.06640625" bestFit="1" customWidth="1"/>
    <col min="13" max="13" width="13.86328125" bestFit="1" customWidth="1"/>
    <col min="22" max="22" width="12.06640625" bestFit="1" customWidth="1"/>
    <col min="23" max="23" width="13.86328125" bestFit="1" customWidth="1"/>
    <col min="32" max="32" width="13.86328125" bestFit="1" customWidth="1"/>
    <col min="33" max="33" width="14.73046875" bestFit="1" customWidth="1"/>
    <col min="34" max="34" width="9.73046875" bestFit="1" customWidth="1"/>
    <col min="35" max="35" width="5.19921875" bestFit="1" customWidth="1"/>
    <col min="36" max="36" width="8.1328125" bestFit="1" customWidth="1"/>
    <col min="37" max="37" width="10.19921875" bestFit="1" customWidth="1"/>
  </cols>
  <sheetData>
    <row r="2" spans="2:10" ht="21" x14ac:dyDescent="0.65">
      <c r="B2" s="5" t="s">
        <v>219</v>
      </c>
    </row>
    <row r="4" spans="2:10" x14ac:dyDescent="0.45">
      <c r="B4" s="6" t="s">
        <v>220</v>
      </c>
      <c r="D4" s="6" t="s">
        <v>221</v>
      </c>
      <c r="F4" s="6" t="s">
        <v>222</v>
      </c>
      <c r="H4" s="6" t="s">
        <v>223</v>
      </c>
      <c r="J4" s="6" t="s">
        <v>224</v>
      </c>
    </row>
    <row r="5" spans="2:10" ht="25.5" x14ac:dyDescent="0.45">
      <c r="B5" s="7">
        <f>COUNTA(Tickets!A2:A181)</f>
        <v>180</v>
      </c>
      <c r="D5" s="8">
        <f>COUNTIF(Tickets!J2:J181,"Met")/(COUNTIF(Tickets!J2:J181,"Met")+COUNTIF(Tickets!J2:J181,"Breached"))</f>
        <v>0.81428571428571428</v>
      </c>
      <c r="F5" s="7">
        <f>COUNTIF(Tickets!J2:J181,"Open")</f>
        <v>40</v>
      </c>
      <c r="H5" s="7">
        <f>COUNTIF(Tickets!J2:J181,"Breached")</f>
        <v>26</v>
      </c>
      <c r="J5" s="9">
        <f>AVERAGEIF(Tickets!I2:I181,"&lt;&gt;",Tickets!I2:I181)</f>
        <v>22.899698549207201</v>
      </c>
    </row>
    <row r="6" spans="2:10" ht="6" customHeight="1" x14ac:dyDescent="0.45">
      <c r="B6" s="10"/>
      <c r="D6" s="10"/>
      <c r="F6" s="10"/>
      <c r="H6" s="10"/>
      <c r="J6" s="10"/>
    </row>
    <row r="8" spans="2:10" x14ac:dyDescent="0.45">
      <c r="B8" s="11" t="s">
        <v>225</v>
      </c>
    </row>
    <row r="44" spans="2:37" x14ac:dyDescent="0.45">
      <c r="B44" s="16" t="s">
        <v>232</v>
      </c>
      <c r="V44" s="12" t="s">
        <v>9</v>
      </c>
      <c r="W44" t="s">
        <v>230</v>
      </c>
    </row>
    <row r="46" spans="2:37" x14ac:dyDescent="0.45">
      <c r="B46" s="12" t="s">
        <v>229</v>
      </c>
      <c r="C46" s="12" t="s">
        <v>228</v>
      </c>
      <c r="L46" s="12" t="s">
        <v>226</v>
      </c>
      <c r="M46" t="s">
        <v>229</v>
      </c>
      <c r="V46" s="12" t="s">
        <v>226</v>
      </c>
      <c r="W46" t="s">
        <v>229</v>
      </c>
      <c r="AF46" s="12" t="s">
        <v>229</v>
      </c>
      <c r="AG46" s="12" t="s">
        <v>228</v>
      </c>
    </row>
    <row r="47" spans="2:37" x14ac:dyDescent="0.45">
      <c r="B47" s="12" t="s">
        <v>226</v>
      </c>
      <c r="C47" t="s">
        <v>31</v>
      </c>
      <c r="D47" t="s">
        <v>47</v>
      </c>
      <c r="E47" t="s">
        <v>13</v>
      </c>
      <c r="F47" t="s">
        <v>51</v>
      </c>
      <c r="G47" t="s">
        <v>227</v>
      </c>
      <c r="L47" s="13" t="s">
        <v>230</v>
      </c>
      <c r="M47" s="14">
        <v>26</v>
      </c>
      <c r="V47" s="13" t="s">
        <v>31</v>
      </c>
      <c r="W47" s="14">
        <v>1</v>
      </c>
      <c r="AF47" s="12" t="s">
        <v>226</v>
      </c>
      <c r="AG47" t="s">
        <v>16</v>
      </c>
      <c r="AH47" t="s">
        <v>28</v>
      </c>
      <c r="AI47" t="s">
        <v>22</v>
      </c>
      <c r="AJ47" t="s">
        <v>26</v>
      </c>
      <c r="AK47" t="s">
        <v>227</v>
      </c>
    </row>
    <row r="48" spans="2:37" x14ac:dyDescent="0.45">
      <c r="B48" s="13" t="s">
        <v>19</v>
      </c>
      <c r="C48" s="14">
        <v>3</v>
      </c>
      <c r="D48" s="14">
        <v>17</v>
      </c>
      <c r="E48" s="14">
        <v>51</v>
      </c>
      <c r="F48" s="14">
        <v>22</v>
      </c>
      <c r="G48" s="14">
        <v>93</v>
      </c>
      <c r="L48" s="13" t="s">
        <v>231</v>
      </c>
      <c r="M48" s="14">
        <v>114</v>
      </c>
      <c r="V48" s="13" t="s">
        <v>47</v>
      </c>
      <c r="W48" s="14">
        <v>8</v>
      </c>
      <c r="AF48" s="15">
        <v>45658</v>
      </c>
      <c r="AG48" s="14">
        <v>13</v>
      </c>
      <c r="AH48" s="14">
        <v>3</v>
      </c>
      <c r="AI48" s="14">
        <v>1</v>
      </c>
      <c r="AJ48" s="14">
        <v>3</v>
      </c>
      <c r="AK48" s="14">
        <v>20</v>
      </c>
    </row>
    <row r="49" spans="2:37" x14ac:dyDescent="0.45">
      <c r="B49" s="13" t="s">
        <v>15</v>
      </c>
      <c r="C49" s="14">
        <v>5</v>
      </c>
      <c r="D49" s="14">
        <v>19</v>
      </c>
      <c r="E49" s="14">
        <v>31</v>
      </c>
      <c r="F49" s="14">
        <v>14</v>
      </c>
      <c r="G49" s="14">
        <v>69</v>
      </c>
      <c r="L49" s="13" t="s">
        <v>227</v>
      </c>
      <c r="M49" s="14">
        <v>140</v>
      </c>
      <c r="V49" s="13" t="s">
        <v>13</v>
      </c>
      <c r="W49" s="14">
        <v>11</v>
      </c>
      <c r="AF49" s="15">
        <v>45689</v>
      </c>
      <c r="AG49" s="14">
        <v>7</v>
      </c>
      <c r="AH49" s="14">
        <v>2</v>
      </c>
      <c r="AI49" s="14">
        <v>1</v>
      </c>
      <c r="AJ49" s="14">
        <v>2</v>
      </c>
      <c r="AK49" s="14">
        <v>12</v>
      </c>
    </row>
    <row r="50" spans="2:37" x14ac:dyDescent="0.45">
      <c r="B50" s="13" t="s">
        <v>44</v>
      </c>
      <c r="C50" s="14">
        <v>1</v>
      </c>
      <c r="D50" s="14">
        <v>4</v>
      </c>
      <c r="E50" s="14">
        <v>12</v>
      </c>
      <c r="F50" s="14">
        <v>1</v>
      </c>
      <c r="G50" s="14">
        <v>18</v>
      </c>
      <c r="V50" s="13" t="s">
        <v>51</v>
      </c>
      <c r="W50" s="14">
        <v>6</v>
      </c>
      <c r="AF50" s="15">
        <v>45717</v>
      </c>
      <c r="AG50" s="14">
        <v>8</v>
      </c>
      <c r="AH50" s="14">
        <v>2</v>
      </c>
      <c r="AI50" s="14">
        <v>1</v>
      </c>
      <c r="AJ50" s="14">
        <v>4</v>
      </c>
      <c r="AK50" s="14">
        <v>15</v>
      </c>
    </row>
    <row r="51" spans="2:37" x14ac:dyDescent="0.45">
      <c r="B51" s="13" t="s">
        <v>227</v>
      </c>
      <c r="C51" s="14">
        <v>9</v>
      </c>
      <c r="D51" s="14">
        <v>40</v>
      </c>
      <c r="E51" s="14">
        <v>94</v>
      </c>
      <c r="F51" s="14">
        <v>37</v>
      </c>
      <c r="G51" s="14">
        <v>180</v>
      </c>
      <c r="V51" s="13" t="s">
        <v>227</v>
      </c>
      <c r="W51" s="14">
        <v>26</v>
      </c>
      <c r="AF51" s="15">
        <v>45748</v>
      </c>
      <c r="AG51" s="14">
        <v>9</v>
      </c>
      <c r="AH51" s="14">
        <v>1</v>
      </c>
      <c r="AI51" s="14">
        <v>3</v>
      </c>
      <c r="AJ51" s="14">
        <v>3</v>
      </c>
      <c r="AK51" s="14">
        <v>16</v>
      </c>
    </row>
    <row r="52" spans="2:37" x14ac:dyDescent="0.45">
      <c r="AF52" s="15">
        <v>45778</v>
      </c>
      <c r="AG52" s="14">
        <v>9</v>
      </c>
      <c r="AH52" s="14">
        <v>2</v>
      </c>
      <c r="AI52" s="14">
        <v>2</v>
      </c>
      <c r="AJ52" s="14">
        <v>3</v>
      </c>
      <c r="AK52" s="14">
        <v>16</v>
      </c>
    </row>
    <row r="53" spans="2:37" x14ac:dyDescent="0.45">
      <c r="AF53" s="15">
        <v>45809</v>
      </c>
      <c r="AG53" s="14">
        <v>7</v>
      </c>
      <c r="AH53" s="14">
        <v>3</v>
      </c>
      <c r="AI53" s="14">
        <v>2</v>
      </c>
      <c r="AJ53" s="14">
        <v>4</v>
      </c>
      <c r="AK53" s="14">
        <v>16</v>
      </c>
    </row>
    <row r="54" spans="2:37" x14ac:dyDescent="0.45">
      <c r="AF54" s="15">
        <v>45839</v>
      </c>
      <c r="AG54" s="14">
        <v>5</v>
      </c>
      <c r="AH54" s="14"/>
      <c r="AI54" s="14"/>
      <c r="AJ54" s="14">
        <v>4</v>
      </c>
      <c r="AK54" s="14">
        <v>9</v>
      </c>
    </row>
    <row r="55" spans="2:37" x14ac:dyDescent="0.45">
      <c r="AF55" s="15">
        <v>45870</v>
      </c>
      <c r="AG55" s="14">
        <v>7</v>
      </c>
      <c r="AH55" s="14"/>
      <c r="AI55" s="14">
        <v>2</v>
      </c>
      <c r="AJ55" s="14">
        <v>3</v>
      </c>
      <c r="AK55" s="14">
        <v>12</v>
      </c>
    </row>
    <row r="56" spans="2:37" x14ac:dyDescent="0.45">
      <c r="AF56" s="15">
        <v>45901</v>
      </c>
      <c r="AG56" s="14">
        <v>7</v>
      </c>
      <c r="AH56" s="14">
        <v>2</v>
      </c>
      <c r="AI56" s="14">
        <v>5</v>
      </c>
      <c r="AJ56" s="14">
        <v>4</v>
      </c>
      <c r="AK56" s="14">
        <v>18</v>
      </c>
    </row>
    <row r="57" spans="2:37" x14ac:dyDescent="0.45">
      <c r="AF57" s="15">
        <v>45931</v>
      </c>
      <c r="AG57" s="14">
        <v>6</v>
      </c>
      <c r="AH57" s="14">
        <v>1</v>
      </c>
      <c r="AI57" s="14">
        <v>1</v>
      </c>
      <c r="AJ57" s="14">
        <v>6</v>
      </c>
      <c r="AK57" s="14">
        <v>14</v>
      </c>
    </row>
    <row r="58" spans="2:37" x14ac:dyDescent="0.45">
      <c r="AF58" s="15">
        <v>45962</v>
      </c>
      <c r="AG58" s="14">
        <v>11</v>
      </c>
      <c r="AH58" s="14">
        <v>2</v>
      </c>
      <c r="AI58" s="14">
        <v>1</v>
      </c>
      <c r="AJ58" s="14">
        <v>3</v>
      </c>
      <c r="AK58" s="14">
        <v>17</v>
      </c>
    </row>
    <row r="59" spans="2:37" x14ac:dyDescent="0.45">
      <c r="AF59" s="15">
        <v>45992</v>
      </c>
      <c r="AG59" s="14">
        <v>8</v>
      </c>
      <c r="AH59" s="14">
        <v>1</v>
      </c>
      <c r="AI59" s="14">
        <v>2</v>
      </c>
      <c r="AJ59" s="14">
        <v>4</v>
      </c>
      <c r="AK59" s="14">
        <v>15</v>
      </c>
    </row>
    <row r="60" spans="2:37" x14ac:dyDescent="0.45">
      <c r="AF60" s="15" t="s">
        <v>227</v>
      </c>
      <c r="AG60" s="14">
        <v>97</v>
      </c>
      <c r="AH60" s="14">
        <v>19</v>
      </c>
      <c r="AI60" s="14">
        <v>21</v>
      </c>
      <c r="AJ60" s="14">
        <v>43</v>
      </c>
      <c r="AK60" s="14">
        <v>180</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Tickets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Varshini Gayathri Suresh</cp:lastModifiedBy>
  <dcterms:created xsi:type="dcterms:W3CDTF">2026-09-09T23:29:25Z</dcterms:created>
  <dcterms:modified xsi:type="dcterms:W3CDTF">2026-09-09T23:29:28Z</dcterms:modified>
</cp:coreProperties>
</file>